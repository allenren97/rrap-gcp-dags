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otiabank-my.sharepoint.com/personal/hadi_dimashkieh_scotiabank_com/Documents/Documents/DTL Fix/DTL All table promotion/"/>
    </mc:Choice>
  </mc:AlternateContent>
  <xr:revisionPtr revIDLastSave="82" documentId="8_{3767DCFB-CA65-473D-8A29-C65F06C19274}" xr6:coauthVersionLast="47" xr6:coauthVersionMax="47" xr10:uidLastSave="{D3CB43C7-9BD2-4096-B90D-606B75E6E4E0}"/>
  <bookViews>
    <workbookView xWindow="25590" yWindow="0" windowWidth="25590" windowHeight="21150" xr2:uid="{DFE0BDEE-727F-4273-9C7A-AF67BA03A6A8}"/>
  </bookViews>
  <sheets>
    <sheet name="00 - ReadMe" sheetId="4" r:id="rId1"/>
    <sheet name="01 - Backup Data" sheetId="1" r:id="rId2"/>
    <sheet name="02 - Delete Data" sheetId="2" r:id="rId3"/>
    <sheet name="03 - Insert Data" sheetId="3" r:id="rId4"/>
  </sheets>
  <definedNames>
    <definedName name="_xlnm._FilterDatabase" localSheetId="1" hidden="1">'01 - Backup Data'!$A$1:$G$16</definedName>
    <definedName name="_xlnm._FilterDatabase" localSheetId="2" hidden="1">'02 - Delete Data'!$A$1:$D$16</definedName>
    <definedName name="_xlnm._FilterDatabase" localSheetId="3" hidden="1">'03 - Insert Data'!$A$1:$G$16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2" l="1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1" i="2"/>
  <c r="G42" i="2"/>
  <c r="G43" i="2"/>
  <c r="G44" i="2"/>
  <c r="G45" i="2"/>
  <c r="G46" i="2"/>
  <c r="G47" i="2"/>
  <c r="G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" i="2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1" i="3"/>
  <c r="B42" i="3"/>
  <c r="B43" i="3"/>
  <c r="B44" i="3"/>
  <c r="B45" i="3"/>
  <c r="B46" i="3"/>
  <c r="B25" i="3"/>
</calcChain>
</file>

<file path=xl/sharedStrings.xml><?xml version="1.0" encoding="utf-8"?>
<sst xmlns="http://schemas.openxmlformats.org/spreadsheetml/2006/main" count="406" uniqueCount="70">
  <si>
    <t>Source_DB</t>
  </si>
  <si>
    <t>Target_DB</t>
  </si>
  <si>
    <t>Source_Schema</t>
  </si>
  <si>
    <t>Target_Schema</t>
  </si>
  <si>
    <t>Source_Table</t>
  </si>
  <si>
    <t>Target_Table</t>
  </si>
  <si>
    <t>Condition</t>
  </si>
  <si>
    <t>BLUDBPRD</t>
  </si>
  <si>
    <t>BLUDBUAT</t>
  </si>
  <si>
    <t>EDRTLRP1D</t>
  </si>
  <si>
    <t>BASEL_PNL_LN_LGD_SEG_ACCT_XREF</t>
  </si>
  <si>
    <t>BASEL_PNL_LN_PD_SEG_ACCT_XREF</t>
  </si>
  <si>
    <t>BASEL_PNL_LN_SCORE_DTL_SNAPSHOT</t>
  </si>
  <si>
    <t>BASEL_PSNL_LN_ACCT_SC_DRVD_VAR</t>
  </si>
  <si>
    <t>BASEL_PSNL_LN_CU_SC_DRVD_VARS</t>
  </si>
  <si>
    <t>BASEL_PSNL_LOAN_ACCT_DRVD_VARS</t>
  </si>
  <si>
    <t>BASEL_PSNL_LOAN_ACCT_DRVD_VARS_2</t>
  </si>
  <si>
    <t>BASEL_PSNL_LOAN_CUST_DRVD_VARS</t>
  </si>
  <si>
    <t>BASEL_PSNL_LOAN_MTH_SNAPSHOT</t>
  </si>
  <si>
    <t>PSNL_LN_LGD_OBSVT_PT_RELZ_VAL</t>
  </si>
  <si>
    <t>PSNL_LOAN_OBSVTN_PT_DRVD_VAR</t>
  </si>
  <si>
    <t>BASEL_PNL_LN_SCORE_SNAPSHOT</t>
  </si>
  <si>
    <t>PSNL_LN_LGD_OBSVT_PT_RELZ_RCVR</t>
  </si>
  <si>
    <t>PSNL_LN_LGD_OBSVT_PT_RELZ_COST</t>
  </si>
  <si>
    <t>PSNL_LOAN_MTH_ACCT_RCVRY</t>
  </si>
  <si>
    <t>Jira</t>
  </si>
  <si>
    <t>where mth_tm_id in (18916,18956,18996,19036)</t>
  </si>
  <si>
    <t>where process_mth_tm_id in (18916,18956,18996,19036)</t>
  </si>
  <si>
    <t>BASEL_PSNL_LOAN_MTH_SNAPSHOT_BKP_DTL_JULOCT_2021</t>
  </si>
  <si>
    <t>BASEL_PSNL_LOAN_ACCT_DRVD_VARS_BKP_DTL_JULOCT_2021</t>
  </si>
  <si>
    <t>BASEL_PSNL_LOAN_ACCT_DRVD_VARS_2_BKP_DTL_JULOCT_2021</t>
  </si>
  <si>
    <t>BASEL_PSNL_LOAN_CUST_DRVD_VARS_BKP_DTL_JULOCT_2021</t>
  </si>
  <si>
    <t>BASEL_PSNL_LN_ACCT_SC_DRVD_VAR_BKP_DTL_JULOCT_2021</t>
  </si>
  <si>
    <t>BASEL_PSNL_LN_CU_SC_DRVD_VARS_BKP_DTL_JULOCT_2021</t>
  </si>
  <si>
    <t>BASEL_PNL_LN_SCORE_DTL_SNAPSHOT_BKP_DTL_JULOCT_2021</t>
  </si>
  <si>
    <t>PSNL_LOAN_OBSVTN_PT_DRVD_VAR_BKP_DTL_JULOCT_2021</t>
  </si>
  <si>
    <t>BASEL_PNL_LN_SCORE_SNAPSHOT_BKP_DTL_JULOCT_2021</t>
  </si>
  <si>
    <t>PSNL_LN_LGD_OBSVT_PT_RELZ_RCVR_BKP_DTL_JULOCT_2021</t>
  </si>
  <si>
    <t>PSNL_LN_LGD_OBSVT_PT_RELZ_COST_BKP_DTL_JULOCT_2021</t>
  </si>
  <si>
    <t>PSNL_LN_LGD_OBSVT_PT_RELZ_VAL_BKP_DTL_JULOCT_2021</t>
  </si>
  <si>
    <t>PSNL_LOAN_MTH_ACCT_RCVRY_BKP_DTL_JULOCT_2021</t>
  </si>
  <si>
    <t>BASEL_PNL_LN_PD_SEG_ACCT_XREF_BKP_DTL_JULOCT_2021</t>
  </si>
  <si>
    <t>BASEL_PNL_LN_LGD_SEG_ACCT_XREF_BKP_DTL_JULOCT_2021</t>
  </si>
  <si>
    <t xml:space="preserve">  </t>
  </si>
  <si>
    <t>BASEL_PNL_LN_PD_SEG_MTH_RLZ_VAL</t>
  </si>
  <si>
    <t>BASEL_PNL_LN_PD_SEG_MTH_RLZ_VAL_BKP_DTL_JULOCT_2021</t>
  </si>
  <si>
    <t>BASEL_PNL_LN_LGD_SEG_MTH_RLZ_VAL</t>
  </si>
  <si>
    <t>BASEL_PNL_LN_LGD_SEG_MTH_RLZ_VAL_BKP_DTL_JULOCT_2021</t>
  </si>
  <si>
    <t>BASEL_PSNL_LOAN_INSTRMNT_ADJ</t>
  </si>
  <si>
    <t>BASEL_PSNL_LOAN_INSTRMNT_ADJ_BKP_DTL_JULOCT_2021</t>
  </si>
  <si>
    <t>BASEL_PSNL_LOAN_RPTG_DRVD_VARS</t>
  </si>
  <si>
    <t>BASEL_PSNL_LOAN_RPTG_DRVD_VARS_BKP_DTL_JULOCT_2021</t>
  </si>
  <si>
    <t>BASEL_PSNL_LN_ANL_BL_INST_FACT</t>
  </si>
  <si>
    <t>BASEL_PSNL_LN_ANL_BL_INST_FACT_BKP_DTL_JULOCT_2021</t>
  </si>
  <si>
    <t>DM1P1D</t>
  </si>
  <si>
    <t>EDRRAPT</t>
  </si>
  <si>
    <t>BASEL_ANALYTCL_BL_INSTRMNT_FACT</t>
  </si>
  <si>
    <t>BASEL_ANALYTCL_BL_INSTRMNT_FACT_BKP_DTL_JULOCT_2021</t>
  </si>
  <si>
    <t>where SRC_SYS_CD='SPL' and mth_tm_id in (18916,18956,18996,19036)</t>
  </si>
  <si>
    <t>DM1U1D</t>
  </si>
  <si>
    <t>where process_mth_tm_id &gt;= 18916</t>
  </si>
  <si>
    <t>EDRTLRU1D</t>
  </si>
  <si>
    <t>Instructions:</t>
  </si>
  <si>
    <t xml:space="preserve">The purpose is to copy data from IIAS UAT BLUDBUAT EDRTLRU1D </t>
  </si>
  <si>
    <t>to</t>
  </si>
  <si>
    <t>IIAS PROD EDRTLRP1D</t>
  </si>
  <si>
    <t>The instructions are in the tabs :</t>
  </si>
  <si>
    <t>01 - Backup existing production data</t>
  </si>
  <si>
    <t>02 - Delete data from production that is to be replaced</t>
  </si>
  <si>
    <t>03 - Insert data from UAT into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</si>
</sst>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349-9F81-4EB0-AA9A-F6D0181C4CB0}">
  <dimension ref="A1:A11"/>
  <sheetViews>
    <sheetView tabSelected="1" workbookViewId="0">
      <selection activeCell="A12" sqref="A12"/>
    </sheetView>
  </sheetViews>
  <sheetFormatPr defaultRowHeight="15" x14ac:dyDescent="0.25"/>
  <sheetData>
    <row r="1" spans="1:1" x14ac:dyDescent="0.25">
      <c r="A1" t="s">
        <v>62</v>
      </c>
    </row>
    <row r="3" spans="1:1" x14ac:dyDescent="0.25">
      <c r="A3" t="s">
        <v>63</v>
      </c>
    </row>
    <row r="4" spans="1:1" x14ac:dyDescent="0.25">
      <c r="A4" t="s">
        <v>64</v>
      </c>
    </row>
    <row r="5" spans="1:1" x14ac:dyDescent="0.25">
      <c r="A5" t="s">
        <v>65</v>
      </c>
    </row>
    <row r="7" spans="1:1" x14ac:dyDescent="0.25">
      <c r="A7" t="s">
        <v>66</v>
      </c>
    </row>
    <row r="9" spans="1:1" x14ac:dyDescent="0.25">
      <c r="A9" t="s">
        <v>67</v>
      </c>
    </row>
    <row r="10" spans="1:1" x14ac:dyDescent="0.25">
      <c r="A10" t="s">
        <v>68</v>
      </c>
    </row>
    <row r="11" spans="1:1" x14ac:dyDescent="0.25">
      <c r="A1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C154-2ADB-4EA3-99B6-4DED7B4ED20F}">
  <dimension ref="A1:G23"/>
  <sheetViews>
    <sheetView workbookViewId="0">
      <selection activeCell="G9" sqref="G9"/>
    </sheetView>
  </sheetViews>
  <sheetFormatPr defaultRowHeight="15" x14ac:dyDescent="0.25"/>
  <cols>
    <col min="1" max="1" width="9.85546875" bestFit="1" customWidth="1"/>
    <col min="2" max="2" width="16.7109375" customWidth="1"/>
    <col min="3" max="3" width="14" bestFit="1" customWidth="1"/>
    <col min="4" max="4" width="17.140625" bestFit="1" customWidth="1"/>
    <col min="5" max="5" width="46.140625" bestFit="1" customWidth="1"/>
    <col min="6" max="6" width="60.42578125" customWidth="1"/>
    <col min="7" max="7" width="5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9</v>
      </c>
      <c r="D2" t="s">
        <v>9</v>
      </c>
      <c r="E2" t="s">
        <v>18</v>
      </c>
      <c r="F2" t="s">
        <v>28</v>
      </c>
      <c r="G2" t="s">
        <v>26</v>
      </c>
    </row>
    <row r="3" spans="1:7" x14ac:dyDescent="0.25">
      <c r="A3" t="s">
        <v>7</v>
      </c>
      <c r="B3" t="s">
        <v>7</v>
      </c>
      <c r="C3" t="s">
        <v>9</v>
      </c>
      <c r="D3" t="s">
        <v>9</v>
      </c>
      <c r="E3" t="s">
        <v>15</v>
      </c>
      <c r="F3" t="s">
        <v>29</v>
      </c>
      <c r="G3" t="s">
        <v>26</v>
      </c>
    </row>
    <row r="4" spans="1:7" x14ac:dyDescent="0.25">
      <c r="A4" t="s">
        <v>7</v>
      </c>
      <c r="B4" t="s">
        <v>7</v>
      </c>
      <c r="C4" t="s">
        <v>9</v>
      </c>
      <c r="D4" t="s">
        <v>9</v>
      </c>
      <c r="E4" t="s">
        <v>16</v>
      </c>
      <c r="F4" t="s">
        <v>30</v>
      </c>
      <c r="G4" t="s">
        <v>26</v>
      </c>
    </row>
    <row r="5" spans="1:7" x14ac:dyDescent="0.25">
      <c r="A5" t="s">
        <v>7</v>
      </c>
      <c r="B5" t="s">
        <v>7</v>
      </c>
      <c r="C5" t="s">
        <v>9</v>
      </c>
      <c r="D5" t="s">
        <v>9</v>
      </c>
      <c r="E5" t="s">
        <v>17</v>
      </c>
      <c r="F5" t="s">
        <v>31</v>
      </c>
      <c r="G5" t="s">
        <v>26</v>
      </c>
    </row>
    <row r="6" spans="1:7" x14ac:dyDescent="0.25">
      <c r="A6" t="s">
        <v>7</v>
      </c>
      <c r="B6" t="s">
        <v>7</v>
      </c>
      <c r="C6" t="s">
        <v>9</v>
      </c>
      <c r="D6" t="s">
        <v>9</v>
      </c>
      <c r="E6" t="s">
        <v>13</v>
      </c>
      <c r="F6" t="s">
        <v>32</v>
      </c>
      <c r="G6" t="s">
        <v>26</v>
      </c>
    </row>
    <row r="7" spans="1:7" x14ac:dyDescent="0.25">
      <c r="A7" t="s">
        <v>7</v>
      </c>
      <c r="B7" t="s">
        <v>7</v>
      </c>
      <c r="C7" t="s">
        <v>9</v>
      </c>
      <c r="D7" t="s">
        <v>9</v>
      </c>
      <c r="E7" t="s">
        <v>14</v>
      </c>
      <c r="F7" t="s">
        <v>33</v>
      </c>
      <c r="G7" t="s">
        <v>26</v>
      </c>
    </row>
    <row r="8" spans="1:7" x14ac:dyDescent="0.25">
      <c r="A8" t="s">
        <v>7</v>
      </c>
      <c r="B8" t="s">
        <v>7</v>
      </c>
      <c r="C8" t="s">
        <v>9</v>
      </c>
      <c r="D8" t="s">
        <v>9</v>
      </c>
      <c r="E8" t="s">
        <v>12</v>
      </c>
      <c r="F8" t="s">
        <v>34</v>
      </c>
      <c r="G8" t="s">
        <v>26</v>
      </c>
    </row>
    <row r="9" spans="1:7" x14ac:dyDescent="0.25">
      <c r="A9" t="s">
        <v>7</v>
      </c>
      <c r="B9" t="s">
        <v>7</v>
      </c>
      <c r="C9" t="s">
        <v>9</v>
      </c>
      <c r="D9" t="s">
        <v>9</v>
      </c>
      <c r="E9" t="s">
        <v>20</v>
      </c>
      <c r="F9" t="s">
        <v>35</v>
      </c>
      <c r="G9" t="s">
        <v>60</v>
      </c>
    </row>
    <row r="10" spans="1:7" x14ac:dyDescent="0.25">
      <c r="A10" t="s">
        <v>7</v>
      </c>
      <c r="B10" t="s">
        <v>7</v>
      </c>
      <c r="C10" t="s">
        <v>9</v>
      </c>
      <c r="D10" t="s">
        <v>9</v>
      </c>
      <c r="E10" t="s">
        <v>21</v>
      </c>
      <c r="F10" t="s">
        <v>36</v>
      </c>
      <c r="G10" t="s">
        <v>26</v>
      </c>
    </row>
    <row r="11" spans="1:7" x14ac:dyDescent="0.25">
      <c r="A11" t="s">
        <v>7</v>
      </c>
      <c r="B11" t="s">
        <v>7</v>
      </c>
      <c r="C11" t="s">
        <v>9</v>
      </c>
      <c r="D11" t="s">
        <v>9</v>
      </c>
      <c r="E11" t="s">
        <v>22</v>
      </c>
      <c r="F11" t="s">
        <v>37</v>
      </c>
      <c r="G11" t="s">
        <v>27</v>
      </c>
    </row>
    <row r="12" spans="1:7" x14ac:dyDescent="0.25">
      <c r="A12" t="s">
        <v>7</v>
      </c>
      <c r="B12" t="s">
        <v>7</v>
      </c>
      <c r="C12" t="s">
        <v>9</v>
      </c>
      <c r="D12" t="s">
        <v>9</v>
      </c>
      <c r="E12" t="s">
        <v>23</v>
      </c>
      <c r="F12" t="s">
        <v>38</v>
      </c>
      <c r="G12" t="s">
        <v>27</v>
      </c>
    </row>
    <row r="13" spans="1:7" x14ac:dyDescent="0.25">
      <c r="A13" t="s">
        <v>7</v>
      </c>
      <c r="B13" t="s">
        <v>7</v>
      </c>
      <c r="C13" t="s">
        <v>9</v>
      </c>
      <c r="D13" t="s">
        <v>9</v>
      </c>
      <c r="E13" t="s">
        <v>19</v>
      </c>
      <c r="F13" t="s">
        <v>39</v>
      </c>
      <c r="G13" t="s">
        <v>27</v>
      </c>
    </row>
    <row r="14" spans="1:7" x14ac:dyDescent="0.25">
      <c r="A14" t="s">
        <v>7</v>
      </c>
      <c r="B14" t="s">
        <v>7</v>
      </c>
      <c r="C14" t="s">
        <v>9</v>
      </c>
      <c r="D14" t="s">
        <v>9</v>
      </c>
      <c r="E14" t="s">
        <v>24</v>
      </c>
      <c r="F14" t="s">
        <v>40</v>
      </c>
      <c r="G14" t="s">
        <v>26</v>
      </c>
    </row>
    <row r="15" spans="1:7" x14ac:dyDescent="0.25">
      <c r="A15" t="s">
        <v>7</v>
      </c>
      <c r="B15" t="s">
        <v>7</v>
      </c>
      <c r="C15" t="s">
        <v>9</v>
      </c>
      <c r="D15" t="s">
        <v>9</v>
      </c>
      <c r="E15" t="s">
        <v>11</v>
      </c>
      <c r="F15" t="s">
        <v>41</v>
      </c>
      <c r="G15" t="s">
        <v>26</v>
      </c>
    </row>
    <row r="16" spans="1:7" x14ac:dyDescent="0.25">
      <c r="A16" t="s">
        <v>7</v>
      </c>
      <c r="B16" t="s">
        <v>7</v>
      </c>
      <c r="C16" t="s">
        <v>9</v>
      </c>
      <c r="D16" t="s">
        <v>9</v>
      </c>
      <c r="E16" t="s">
        <v>10</v>
      </c>
      <c r="F16" t="s">
        <v>42</v>
      </c>
      <c r="G16" t="s">
        <v>26</v>
      </c>
    </row>
    <row r="18" spans="1:7" x14ac:dyDescent="0.25">
      <c r="A18" t="s">
        <v>7</v>
      </c>
      <c r="B18" t="s">
        <v>7</v>
      </c>
      <c r="C18" t="s">
        <v>9</v>
      </c>
      <c r="D18" t="s">
        <v>9</v>
      </c>
      <c r="E18" t="s">
        <v>44</v>
      </c>
      <c r="F18" t="s">
        <v>45</v>
      </c>
      <c r="G18" t="s">
        <v>26</v>
      </c>
    </row>
    <row r="19" spans="1:7" x14ac:dyDescent="0.25">
      <c r="A19" t="s">
        <v>7</v>
      </c>
      <c r="B19" t="s">
        <v>7</v>
      </c>
      <c r="C19" t="s">
        <v>9</v>
      </c>
      <c r="D19" t="s">
        <v>9</v>
      </c>
      <c r="E19" t="s">
        <v>46</v>
      </c>
      <c r="F19" t="s">
        <v>47</v>
      </c>
      <c r="G19" t="s">
        <v>26</v>
      </c>
    </row>
    <row r="20" spans="1:7" x14ac:dyDescent="0.25">
      <c r="A20" t="s">
        <v>7</v>
      </c>
      <c r="B20" t="s">
        <v>7</v>
      </c>
      <c r="C20" t="s">
        <v>9</v>
      </c>
      <c r="D20" t="s">
        <v>9</v>
      </c>
      <c r="E20" t="s">
        <v>48</v>
      </c>
      <c r="F20" t="s">
        <v>49</v>
      </c>
      <c r="G20" t="s">
        <v>26</v>
      </c>
    </row>
    <row r="21" spans="1:7" x14ac:dyDescent="0.25">
      <c r="A21" t="s">
        <v>7</v>
      </c>
      <c r="B21" t="s">
        <v>7</v>
      </c>
      <c r="C21" t="s">
        <v>9</v>
      </c>
      <c r="D21" t="s">
        <v>9</v>
      </c>
      <c r="E21" t="s">
        <v>50</v>
      </c>
      <c r="F21" t="s">
        <v>51</v>
      </c>
      <c r="G21" t="s">
        <v>26</v>
      </c>
    </row>
    <row r="22" spans="1:7" x14ac:dyDescent="0.25">
      <c r="A22" t="s">
        <v>7</v>
      </c>
      <c r="B22" t="s">
        <v>7</v>
      </c>
      <c r="C22" t="s">
        <v>9</v>
      </c>
      <c r="D22" t="s">
        <v>9</v>
      </c>
      <c r="E22" t="s">
        <v>52</v>
      </c>
      <c r="F22" t="s">
        <v>53</v>
      </c>
      <c r="G22" t="s">
        <v>26</v>
      </c>
    </row>
    <row r="23" spans="1:7" x14ac:dyDescent="0.25">
      <c r="A23" t="s">
        <v>54</v>
      </c>
      <c r="B23" t="s">
        <v>54</v>
      </c>
      <c r="C23" t="s">
        <v>55</v>
      </c>
      <c r="D23" t="s">
        <v>55</v>
      </c>
      <c r="E23" t="s">
        <v>56</v>
      </c>
      <c r="F23" t="s">
        <v>57</v>
      </c>
      <c r="G23" t="s">
        <v>58</v>
      </c>
    </row>
  </sheetData>
  <autoFilter ref="A1:G16" xr:uid="{07243A96-EA4D-4EEF-86B1-733B0B3445D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4906-6459-4549-BE22-60E9E7A7764F}">
  <dimension ref="A1:G47"/>
  <sheetViews>
    <sheetView workbookViewId="0">
      <selection activeCell="G40" sqref="G40"/>
    </sheetView>
  </sheetViews>
  <sheetFormatPr defaultRowHeight="15" x14ac:dyDescent="0.25"/>
  <cols>
    <col min="1" max="1" width="12.28515625" bestFit="1" customWidth="1"/>
    <col min="2" max="2" width="16.85546875" bestFit="1" customWidth="1"/>
    <col min="3" max="3" width="52.42578125" bestFit="1" customWidth="1"/>
    <col min="4" max="4" width="51.7109375" bestFit="1" customWidth="1"/>
  </cols>
  <sheetData>
    <row r="1" spans="1:7" x14ac:dyDescent="0.25">
      <c r="A1" t="s">
        <v>1</v>
      </c>
      <c r="B1" t="s">
        <v>3</v>
      </c>
      <c r="C1" t="s">
        <v>5</v>
      </c>
      <c r="D1" t="s">
        <v>6</v>
      </c>
    </row>
    <row r="2" spans="1:7" x14ac:dyDescent="0.25">
      <c r="A2" t="s">
        <v>7</v>
      </c>
      <c r="B2" t="s">
        <v>9</v>
      </c>
      <c r="C2" t="s">
        <v>18</v>
      </c>
      <c r="D2" t="s">
        <v>26</v>
      </c>
      <c r="G2" t="str">
        <f>_xlfn.CONCAT("delete from EDRTLRP1D.",C2," ",D2,"; COMMIT;")</f>
        <v>delete from EDRTLRP1D.BASEL_PSNL_LOAN_MTH_SNAPSHOT where mth_tm_id in (18916,18956,18996,19036); COMMIT;</v>
      </c>
    </row>
    <row r="3" spans="1:7" x14ac:dyDescent="0.25">
      <c r="A3" t="s">
        <v>7</v>
      </c>
      <c r="B3" t="s">
        <v>9</v>
      </c>
      <c r="C3" t="s">
        <v>15</v>
      </c>
      <c r="D3" t="s">
        <v>26</v>
      </c>
      <c r="G3" t="str">
        <f t="shared" ref="G3:G23" si="0">_xlfn.CONCAT("delete from EDRTLRP1D.",C3," ",D3,"; COMMIT;")</f>
        <v>delete from EDRTLRP1D.BASEL_PSNL_LOAN_ACCT_DRVD_VARS where mth_tm_id in (18916,18956,18996,19036); COMMIT;</v>
      </c>
    </row>
    <row r="4" spans="1:7" x14ac:dyDescent="0.25">
      <c r="A4" t="s">
        <v>7</v>
      </c>
      <c r="B4" t="s">
        <v>9</v>
      </c>
      <c r="C4" t="s">
        <v>16</v>
      </c>
      <c r="D4" t="s">
        <v>26</v>
      </c>
      <c r="G4" t="str">
        <f t="shared" si="0"/>
        <v>delete from EDRTLRP1D.BASEL_PSNL_LOAN_ACCT_DRVD_VARS_2 where mth_tm_id in (18916,18956,18996,19036); COMMIT;</v>
      </c>
    </row>
    <row r="5" spans="1:7" x14ac:dyDescent="0.25">
      <c r="A5" t="s">
        <v>7</v>
      </c>
      <c r="B5" t="s">
        <v>9</v>
      </c>
      <c r="C5" t="s">
        <v>17</v>
      </c>
      <c r="D5" t="s">
        <v>26</v>
      </c>
      <c r="G5" t="str">
        <f t="shared" si="0"/>
        <v>delete from EDRTLRP1D.BASEL_PSNL_LOAN_CUST_DRVD_VARS where mth_tm_id in (18916,18956,18996,19036); COMMIT;</v>
      </c>
    </row>
    <row r="6" spans="1:7" x14ac:dyDescent="0.25">
      <c r="A6" t="s">
        <v>7</v>
      </c>
      <c r="B6" t="s">
        <v>9</v>
      </c>
      <c r="C6" t="s">
        <v>13</v>
      </c>
      <c r="D6" t="s">
        <v>26</v>
      </c>
      <c r="G6" t="str">
        <f t="shared" si="0"/>
        <v>delete from EDRTLRP1D.BASEL_PSNL_LN_ACCT_SC_DRVD_VAR where mth_tm_id in (18916,18956,18996,19036); COMMIT;</v>
      </c>
    </row>
    <row r="7" spans="1:7" x14ac:dyDescent="0.25">
      <c r="A7" t="s">
        <v>7</v>
      </c>
      <c r="B7" t="s">
        <v>9</v>
      </c>
      <c r="C7" t="s">
        <v>14</v>
      </c>
      <c r="D7" t="s">
        <v>26</v>
      </c>
      <c r="G7" t="str">
        <f t="shared" si="0"/>
        <v>delete from EDRTLRP1D.BASEL_PSNL_LN_CU_SC_DRVD_VARS where mth_tm_id in (18916,18956,18996,19036); COMMIT;</v>
      </c>
    </row>
    <row r="8" spans="1:7" x14ac:dyDescent="0.25">
      <c r="A8" t="s">
        <v>7</v>
      </c>
      <c r="B8" t="s">
        <v>9</v>
      </c>
      <c r="C8" t="s">
        <v>12</v>
      </c>
      <c r="D8" t="s">
        <v>26</v>
      </c>
      <c r="G8" t="str">
        <f t="shared" si="0"/>
        <v>delete from EDRTLRP1D.BASEL_PNL_LN_SCORE_DTL_SNAPSHOT where mth_tm_id in (18916,18956,18996,19036); COMMIT;</v>
      </c>
    </row>
    <row r="9" spans="1:7" x14ac:dyDescent="0.25">
      <c r="A9" t="s">
        <v>7</v>
      </c>
      <c r="B9" t="s">
        <v>9</v>
      </c>
      <c r="C9" t="s">
        <v>20</v>
      </c>
      <c r="D9" t="s">
        <v>60</v>
      </c>
      <c r="G9" t="str">
        <f t="shared" si="0"/>
        <v>delete from EDRTLRP1D.PSNL_LOAN_OBSVTN_PT_DRVD_VAR where process_mth_tm_id &gt;= 18916; COMMIT;</v>
      </c>
    </row>
    <row r="10" spans="1:7" x14ac:dyDescent="0.25">
      <c r="A10" t="s">
        <v>7</v>
      </c>
      <c r="B10" t="s">
        <v>9</v>
      </c>
      <c r="C10" t="s">
        <v>21</v>
      </c>
      <c r="D10" t="s">
        <v>26</v>
      </c>
      <c r="G10" t="str">
        <f t="shared" si="0"/>
        <v>delete from EDRTLRP1D.BASEL_PNL_LN_SCORE_SNAPSHOT where mth_tm_id in (18916,18956,18996,19036); COMMIT;</v>
      </c>
    </row>
    <row r="11" spans="1:7" x14ac:dyDescent="0.25">
      <c r="A11" t="s">
        <v>7</v>
      </c>
      <c r="B11" t="s">
        <v>9</v>
      </c>
      <c r="C11" t="s">
        <v>22</v>
      </c>
      <c r="D11" t="s">
        <v>27</v>
      </c>
      <c r="G11" t="str">
        <f t="shared" si="0"/>
        <v>delete from EDRTLRP1D.PSNL_LN_LGD_OBSVT_PT_RELZ_RCVR where process_mth_tm_id in (18916,18956,18996,19036); COMMIT;</v>
      </c>
    </row>
    <row r="12" spans="1:7" x14ac:dyDescent="0.25">
      <c r="A12" t="s">
        <v>7</v>
      </c>
      <c r="B12" t="s">
        <v>9</v>
      </c>
      <c r="C12" t="s">
        <v>23</v>
      </c>
      <c r="D12" t="s">
        <v>27</v>
      </c>
      <c r="G12" t="str">
        <f t="shared" si="0"/>
        <v>delete from EDRTLRP1D.PSNL_LN_LGD_OBSVT_PT_RELZ_COST where process_mth_tm_id in (18916,18956,18996,19036); COMMIT;</v>
      </c>
    </row>
    <row r="13" spans="1:7" x14ac:dyDescent="0.25">
      <c r="A13" t="s">
        <v>7</v>
      </c>
      <c r="B13" t="s">
        <v>9</v>
      </c>
      <c r="C13" t="s">
        <v>19</v>
      </c>
      <c r="D13" t="s">
        <v>27</v>
      </c>
      <c r="G13" t="str">
        <f t="shared" si="0"/>
        <v>delete from EDRTLRP1D.PSNL_LN_LGD_OBSVT_PT_RELZ_VAL where process_mth_tm_id in (18916,18956,18996,19036); COMMIT;</v>
      </c>
    </row>
    <row r="14" spans="1:7" x14ac:dyDescent="0.25">
      <c r="A14" t="s">
        <v>7</v>
      </c>
      <c r="B14" t="s">
        <v>9</v>
      </c>
      <c r="C14" t="s">
        <v>24</v>
      </c>
      <c r="D14" t="s">
        <v>26</v>
      </c>
      <c r="G14" t="str">
        <f t="shared" si="0"/>
        <v>delete from EDRTLRP1D.PSNL_LOAN_MTH_ACCT_RCVRY where mth_tm_id in (18916,18956,18996,19036); COMMIT;</v>
      </c>
    </row>
    <row r="15" spans="1:7" x14ac:dyDescent="0.25">
      <c r="A15" t="s">
        <v>7</v>
      </c>
      <c r="B15" t="s">
        <v>9</v>
      </c>
      <c r="C15" t="s">
        <v>11</v>
      </c>
      <c r="D15" t="s">
        <v>26</v>
      </c>
      <c r="G15" t="str">
        <f t="shared" si="0"/>
        <v>delete from EDRTLRP1D.BASEL_PNL_LN_PD_SEG_ACCT_XREF where mth_tm_id in (18916,18956,18996,19036); COMMIT;</v>
      </c>
    </row>
    <row r="16" spans="1:7" x14ac:dyDescent="0.25">
      <c r="A16" t="s">
        <v>7</v>
      </c>
      <c r="B16" t="s">
        <v>9</v>
      </c>
      <c r="C16" t="s">
        <v>10</v>
      </c>
      <c r="D16" t="s">
        <v>26</v>
      </c>
      <c r="G16" t="str">
        <f t="shared" si="0"/>
        <v>delete from EDRTLRP1D.BASEL_PNL_LN_LGD_SEG_ACCT_XREF where mth_tm_id in (18916,18956,18996,19036); COMMIT;</v>
      </c>
    </row>
    <row r="18" spans="1:7" x14ac:dyDescent="0.25">
      <c r="A18" t="s">
        <v>7</v>
      </c>
      <c r="B18" t="s">
        <v>9</v>
      </c>
      <c r="C18" t="s">
        <v>44</v>
      </c>
      <c r="D18" t="s">
        <v>26</v>
      </c>
      <c r="G18" t="str">
        <f t="shared" si="0"/>
        <v>delete from EDRTLRP1D.BASEL_PNL_LN_PD_SEG_MTH_RLZ_VAL where mth_tm_id in (18916,18956,18996,19036); COMMIT;</v>
      </c>
    </row>
    <row r="19" spans="1:7" x14ac:dyDescent="0.25">
      <c r="A19" t="s">
        <v>7</v>
      </c>
      <c r="B19" t="s">
        <v>9</v>
      </c>
      <c r="C19" t="s">
        <v>46</v>
      </c>
      <c r="D19" t="s">
        <v>26</v>
      </c>
      <c r="G19" t="str">
        <f t="shared" si="0"/>
        <v>delete from EDRTLRP1D.BASEL_PNL_LN_LGD_SEG_MTH_RLZ_VAL where mth_tm_id in (18916,18956,18996,19036); COMMIT;</v>
      </c>
    </row>
    <row r="20" spans="1:7" x14ac:dyDescent="0.25">
      <c r="A20" t="s">
        <v>7</v>
      </c>
      <c r="B20" t="s">
        <v>9</v>
      </c>
      <c r="C20" t="s">
        <v>48</v>
      </c>
      <c r="D20" t="s">
        <v>26</v>
      </c>
      <c r="G20" t="str">
        <f t="shared" si="0"/>
        <v>delete from EDRTLRP1D.BASEL_PSNL_LOAN_INSTRMNT_ADJ where mth_tm_id in (18916,18956,18996,19036); COMMIT;</v>
      </c>
    </row>
    <row r="21" spans="1:7" x14ac:dyDescent="0.25">
      <c r="A21" t="s">
        <v>7</v>
      </c>
      <c r="B21" t="s">
        <v>9</v>
      </c>
      <c r="C21" t="s">
        <v>50</v>
      </c>
      <c r="D21" t="s">
        <v>26</v>
      </c>
      <c r="G21" t="str">
        <f t="shared" si="0"/>
        <v>delete from EDRTLRP1D.BASEL_PSNL_LOAN_RPTG_DRVD_VARS where mth_tm_id in (18916,18956,18996,19036); COMMIT;</v>
      </c>
    </row>
    <row r="22" spans="1:7" x14ac:dyDescent="0.25">
      <c r="A22" t="s">
        <v>7</v>
      </c>
      <c r="B22" t="s">
        <v>9</v>
      </c>
      <c r="C22" t="s">
        <v>52</v>
      </c>
      <c r="D22" t="s">
        <v>26</v>
      </c>
      <c r="G22" t="str">
        <f t="shared" si="0"/>
        <v>delete from EDRTLRP1D.BASEL_PSNL_LN_ANL_BL_INST_FACT where mth_tm_id in (18916,18956,18996,19036); COMMIT;</v>
      </c>
    </row>
    <row r="23" spans="1:7" x14ac:dyDescent="0.25">
      <c r="A23" t="s">
        <v>54</v>
      </c>
      <c r="B23" t="s">
        <v>55</v>
      </c>
      <c r="C23" t="s">
        <v>56</v>
      </c>
      <c r="D23" t="s">
        <v>58</v>
      </c>
      <c r="G23" t="str">
        <f t="shared" si="0"/>
        <v>delete from EDRTLRP1D.BASEL_ANALYTCL_BL_INSTRMNT_FACT where SRC_SYS_CD='SPL' and mth_tm_id in (18916,18956,18996,19036); COMMIT;</v>
      </c>
    </row>
    <row r="25" spans="1:7" x14ac:dyDescent="0.25">
      <c r="G25" t="str">
        <f>_xlfn.CONCAT("select count(1) from EDRTLRP1D.",C2," ",D2,";")</f>
        <v>select count(1) from EDRTLRP1D.BASEL_PSNL_LOAN_MTH_SNAPSHOT where mth_tm_id in (18916,18956,18996,19036);</v>
      </c>
    </row>
    <row r="26" spans="1:7" x14ac:dyDescent="0.25">
      <c r="G26" t="str">
        <f t="shared" ref="G26:G47" si="1">_xlfn.CONCAT("select count(1) from EDRTLRP1D.",C3," ",D3,";")</f>
        <v>select count(1) from EDRTLRP1D.BASEL_PSNL_LOAN_ACCT_DRVD_VARS where mth_tm_id in (18916,18956,18996,19036);</v>
      </c>
    </row>
    <row r="27" spans="1:7" x14ac:dyDescent="0.25">
      <c r="G27" t="str">
        <f t="shared" si="1"/>
        <v>select count(1) from EDRTLRP1D.BASEL_PSNL_LOAN_ACCT_DRVD_VARS_2 where mth_tm_id in (18916,18956,18996,19036);</v>
      </c>
    </row>
    <row r="28" spans="1:7" x14ac:dyDescent="0.25">
      <c r="G28" t="str">
        <f t="shared" si="1"/>
        <v>select count(1) from EDRTLRP1D.BASEL_PSNL_LOAN_CUST_DRVD_VARS where mth_tm_id in (18916,18956,18996,19036);</v>
      </c>
    </row>
    <row r="29" spans="1:7" x14ac:dyDescent="0.25">
      <c r="G29" t="str">
        <f t="shared" si="1"/>
        <v>select count(1) from EDRTLRP1D.BASEL_PSNL_LN_ACCT_SC_DRVD_VAR where mth_tm_id in (18916,18956,18996,19036);</v>
      </c>
    </row>
    <row r="30" spans="1:7" x14ac:dyDescent="0.25">
      <c r="G30" t="str">
        <f t="shared" si="1"/>
        <v>select count(1) from EDRTLRP1D.BASEL_PSNL_LN_CU_SC_DRVD_VARS where mth_tm_id in (18916,18956,18996,19036);</v>
      </c>
    </row>
    <row r="31" spans="1:7" x14ac:dyDescent="0.25">
      <c r="G31" t="str">
        <f t="shared" si="1"/>
        <v>select count(1) from EDRTLRP1D.BASEL_PNL_LN_SCORE_DTL_SNAPSHOT where mth_tm_id in (18916,18956,18996,19036);</v>
      </c>
    </row>
    <row r="32" spans="1:7" x14ac:dyDescent="0.25">
      <c r="G32" t="str">
        <f t="shared" si="1"/>
        <v>select count(1) from EDRTLRP1D.PSNL_LOAN_OBSVTN_PT_DRVD_VAR where process_mth_tm_id &gt;= 18916;</v>
      </c>
    </row>
    <row r="33" spans="7:7" x14ac:dyDescent="0.25">
      <c r="G33" t="str">
        <f t="shared" si="1"/>
        <v>select count(1) from EDRTLRP1D.BASEL_PNL_LN_SCORE_SNAPSHOT where mth_tm_id in (18916,18956,18996,19036);</v>
      </c>
    </row>
    <row r="34" spans="7:7" x14ac:dyDescent="0.25">
      <c r="G34" t="str">
        <f t="shared" si="1"/>
        <v>select count(1) from EDRTLRP1D.PSNL_LN_LGD_OBSVT_PT_RELZ_RCVR where process_mth_tm_id in (18916,18956,18996,19036);</v>
      </c>
    </row>
    <row r="35" spans="7:7" x14ac:dyDescent="0.25">
      <c r="G35" t="str">
        <f t="shared" si="1"/>
        <v>select count(1) from EDRTLRP1D.PSNL_LN_LGD_OBSVT_PT_RELZ_COST where process_mth_tm_id in (18916,18956,18996,19036);</v>
      </c>
    </row>
    <row r="36" spans="7:7" x14ac:dyDescent="0.25">
      <c r="G36" t="str">
        <f t="shared" si="1"/>
        <v>select count(1) from EDRTLRP1D.PSNL_LN_LGD_OBSVT_PT_RELZ_VAL where process_mth_tm_id in (18916,18956,18996,19036);</v>
      </c>
    </row>
    <row r="37" spans="7:7" x14ac:dyDescent="0.25">
      <c r="G37" t="str">
        <f t="shared" si="1"/>
        <v>select count(1) from EDRTLRP1D.PSNL_LOAN_MTH_ACCT_RCVRY where mth_tm_id in (18916,18956,18996,19036);</v>
      </c>
    </row>
    <row r="38" spans="7:7" x14ac:dyDescent="0.25">
      <c r="G38" t="str">
        <f t="shared" si="1"/>
        <v>select count(1) from EDRTLRP1D.BASEL_PNL_LN_PD_SEG_ACCT_XREF where mth_tm_id in (18916,18956,18996,19036);</v>
      </c>
    </row>
    <row r="39" spans="7:7" x14ac:dyDescent="0.25">
      <c r="G39" t="str">
        <f t="shared" si="1"/>
        <v>select count(1) from EDRTLRP1D.BASEL_PNL_LN_LGD_SEG_ACCT_XREF where mth_tm_id in (18916,18956,18996,19036);</v>
      </c>
    </row>
    <row r="41" spans="7:7" x14ac:dyDescent="0.25">
      <c r="G41" t="str">
        <f t="shared" si="1"/>
        <v>select count(1) from EDRTLRP1D.BASEL_PNL_LN_PD_SEG_MTH_RLZ_VAL where mth_tm_id in (18916,18956,18996,19036);</v>
      </c>
    </row>
    <row r="42" spans="7:7" x14ac:dyDescent="0.25">
      <c r="G42" t="str">
        <f t="shared" si="1"/>
        <v>select count(1) from EDRTLRP1D.BASEL_PNL_LN_LGD_SEG_MTH_RLZ_VAL where mth_tm_id in (18916,18956,18996,19036);</v>
      </c>
    </row>
    <row r="43" spans="7:7" x14ac:dyDescent="0.25">
      <c r="G43" t="str">
        <f t="shared" si="1"/>
        <v>select count(1) from EDRTLRP1D.BASEL_PSNL_LOAN_INSTRMNT_ADJ where mth_tm_id in (18916,18956,18996,19036);</v>
      </c>
    </row>
    <row r="44" spans="7:7" x14ac:dyDescent="0.25">
      <c r="G44" t="str">
        <f t="shared" si="1"/>
        <v>select count(1) from EDRTLRP1D.BASEL_PSNL_LOAN_RPTG_DRVD_VARS where mth_tm_id in (18916,18956,18996,19036);</v>
      </c>
    </row>
    <row r="45" spans="7:7" x14ac:dyDescent="0.25">
      <c r="G45" t="str">
        <f t="shared" si="1"/>
        <v>select count(1) from EDRTLRP1D.BASEL_PSNL_LN_ANL_BL_INST_FACT where mth_tm_id in (18916,18956,18996,19036);</v>
      </c>
    </row>
    <row r="46" spans="7:7" x14ac:dyDescent="0.25">
      <c r="G46" t="str">
        <f t="shared" si="1"/>
        <v>select count(1) from EDRTLRP1D.BASEL_ANALYTCL_BL_INSTRMNT_FACT where SRC_SYS_CD='SPL' and mth_tm_id in (18916,18956,18996,19036);</v>
      </c>
    </row>
    <row r="47" spans="7:7" x14ac:dyDescent="0.25">
      <c r="G47" t="str">
        <f t="shared" si="1"/>
        <v>select count(1) from EDRTLRP1D. ;</v>
      </c>
    </row>
  </sheetData>
  <autoFilter ref="A1:D16" xr:uid="{E830E125-6BA4-47E4-A74C-B6D11232DB13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AF7F-15F6-451A-857C-F7F56FCD73B7}">
  <dimension ref="A1:H46"/>
  <sheetViews>
    <sheetView workbookViewId="0">
      <selection activeCell="B40" sqref="B40"/>
    </sheetView>
  </sheetViews>
  <sheetFormatPr defaultRowHeight="15" x14ac:dyDescent="0.25"/>
  <cols>
    <col min="1" max="1" width="15.140625" customWidth="1"/>
    <col min="2" max="2" width="17.7109375" customWidth="1"/>
    <col min="3" max="3" width="29.42578125" customWidth="1"/>
    <col min="4" max="4" width="25.5703125" bestFit="1" customWidth="1"/>
    <col min="5" max="6" width="35.42578125" bestFit="1" customWidth="1"/>
    <col min="7" max="7" width="51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x14ac:dyDescent="0.25">
      <c r="A2" t="s">
        <v>8</v>
      </c>
      <c r="B2" t="s">
        <v>7</v>
      </c>
      <c r="C2" t="s">
        <v>61</v>
      </c>
      <c r="D2" t="s">
        <v>9</v>
      </c>
      <c r="E2" t="s">
        <v>18</v>
      </c>
      <c r="F2" t="s">
        <v>18</v>
      </c>
      <c r="G2" t="s">
        <v>26</v>
      </c>
    </row>
    <row r="3" spans="1:8" x14ac:dyDescent="0.25">
      <c r="A3" t="s">
        <v>8</v>
      </c>
      <c r="B3" t="s">
        <v>7</v>
      </c>
      <c r="C3" t="s">
        <v>61</v>
      </c>
      <c r="D3" t="s">
        <v>9</v>
      </c>
      <c r="E3" t="s">
        <v>15</v>
      </c>
      <c r="F3" t="s">
        <v>15</v>
      </c>
      <c r="G3" t="s">
        <v>26</v>
      </c>
    </row>
    <row r="4" spans="1:8" x14ac:dyDescent="0.25">
      <c r="A4" t="s">
        <v>8</v>
      </c>
      <c r="B4" t="s">
        <v>7</v>
      </c>
      <c r="C4" t="s">
        <v>61</v>
      </c>
      <c r="D4" t="s">
        <v>9</v>
      </c>
      <c r="E4" t="s">
        <v>16</v>
      </c>
      <c r="F4" t="s">
        <v>16</v>
      </c>
      <c r="G4" t="s">
        <v>26</v>
      </c>
    </row>
    <row r="5" spans="1:8" x14ac:dyDescent="0.25">
      <c r="A5" t="s">
        <v>8</v>
      </c>
      <c r="B5" t="s">
        <v>7</v>
      </c>
      <c r="C5" t="s">
        <v>61</v>
      </c>
      <c r="D5" t="s">
        <v>9</v>
      </c>
      <c r="E5" t="s">
        <v>17</v>
      </c>
      <c r="F5" t="s">
        <v>17</v>
      </c>
      <c r="G5" t="s">
        <v>26</v>
      </c>
    </row>
    <row r="6" spans="1:8" x14ac:dyDescent="0.25">
      <c r="A6" t="s">
        <v>8</v>
      </c>
      <c r="B6" t="s">
        <v>7</v>
      </c>
      <c r="C6" t="s">
        <v>61</v>
      </c>
      <c r="D6" t="s">
        <v>9</v>
      </c>
      <c r="E6" t="s">
        <v>13</v>
      </c>
      <c r="F6" t="s">
        <v>13</v>
      </c>
      <c r="G6" t="s">
        <v>26</v>
      </c>
    </row>
    <row r="7" spans="1:8" x14ac:dyDescent="0.25">
      <c r="A7" t="s">
        <v>8</v>
      </c>
      <c r="B7" t="s">
        <v>7</v>
      </c>
      <c r="C7" t="s">
        <v>61</v>
      </c>
      <c r="D7" t="s">
        <v>9</v>
      </c>
      <c r="E7" t="s">
        <v>14</v>
      </c>
      <c r="F7" t="s">
        <v>14</v>
      </c>
      <c r="G7" t="s">
        <v>26</v>
      </c>
    </row>
    <row r="8" spans="1:8" x14ac:dyDescent="0.25">
      <c r="A8" t="s">
        <v>8</v>
      </c>
      <c r="B8" t="s">
        <v>7</v>
      </c>
      <c r="C8" t="s">
        <v>61</v>
      </c>
      <c r="D8" t="s">
        <v>9</v>
      </c>
      <c r="E8" t="s">
        <v>12</v>
      </c>
      <c r="F8" t="s">
        <v>12</v>
      </c>
      <c r="G8" t="s">
        <v>26</v>
      </c>
    </row>
    <row r="9" spans="1:8" x14ac:dyDescent="0.25">
      <c r="A9" t="s">
        <v>8</v>
      </c>
      <c r="B9" t="s">
        <v>7</v>
      </c>
      <c r="C9" t="s">
        <v>61</v>
      </c>
      <c r="D9" t="s">
        <v>9</v>
      </c>
      <c r="E9" t="s">
        <v>20</v>
      </c>
      <c r="F9" t="s">
        <v>20</v>
      </c>
      <c r="G9" t="s">
        <v>60</v>
      </c>
    </row>
    <row r="10" spans="1:8" x14ac:dyDescent="0.25">
      <c r="A10" t="s">
        <v>8</v>
      </c>
      <c r="B10" t="s">
        <v>7</v>
      </c>
      <c r="C10" t="s">
        <v>61</v>
      </c>
      <c r="D10" t="s">
        <v>9</v>
      </c>
      <c r="E10" t="s">
        <v>21</v>
      </c>
      <c r="F10" t="s">
        <v>21</v>
      </c>
      <c r="G10" t="s">
        <v>26</v>
      </c>
    </row>
    <row r="11" spans="1:8" x14ac:dyDescent="0.25">
      <c r="A11" t="s">
        <v>8</v>
      </c>
      <c r="B11" t="s">
        <v>7</v>
      </c>
      <c r="C11" t="s">
        <v>61</v>
      </c>
      <c r="D11" t="s">
        <v>9</v>
      </c>
      <c r="E11" t="s">
        <v>22</v>
      </c>
      <c r="F11" t="s">
        <v>22</v>
      </c>
      <c r="G11" t="s">
        <v>27</v>
      </c>
    </row>
    <row r="12" spans="1:8" x14ac:dyDescent="0.25">
      <c r="A12" t="s">
        <v>8</v>
      </c>
      <c r="B12" t="s">
        <v>7</v>
      </c>
      <c r="C12" t="s">
        <v>61</v>
      </c>
      <c r="D12" t="s">
        <v>9</v>
      </c>
      <c r="E12" t="s">
        <v>23</v>
      </c>
      <c r="F12" t="s">
        <v>23</v>
      </c>
      <c r="G12" t="s">
        <v>27</v>
      </c>
    </row>
    <row r="13" spans="1:8" x14ac:dyDescent="0.25">
      <c r="A13" t="s">
        <v>8</v>
      </c>
      <c r="B13" t="s">
        <v>7</v>
      </c>
      <c r="C13" t="s">
        <v>61</v>
      </c>
      <c r="D13" t="s">
        <v>9</v>
      </c>
      <c r="E13" t="s">
        <v>19</v>
      </c>
      <c r="F13" t="s">
        <v>19</v>
      </c>
      <c r="G13" t="s">
        <v>27</v>
      </c>
    </row>
    <row r="14" spans="1:8" x14ac:dyDescent="0.25">
      <c r="A14" t="s">
        <v>8</v>
      </c>
      <c r="B14" t="s">
        <v>7</v>
      </c>
      <c r="C14" t="s">
        <v>61</v>
      </c>
      <c r="D14" t="s">
        <v>9</v>
      </c>
      <c r="E14" t="s">
        <v>24</v>
      </c>
      <c r="F14" t="s">
        <v>24</v>
      </c>
      <c r="G14" t="s">
        <v>26</v>
      </c>
    </row>
    <row r="15" spans="1:8" x14ac:dyDescent="0.25">
      <c r="A15" t="s">
        <v>8</v>
      </c>
      <c r="B15" t="s">
        <v>7</v>
      </c>
      <c r="C15" t="s">
        <v>61</v>
      </c>
      <c r="D15" t="s">
        <v>9</v>
      </c>
      <c r="E15" t="s">
        <v>11</v>
      </c>
      <c r="F15" t="s">
        <v>11</v>
      </c>
      <c r="G15" t="s">
        <v>26</v>
      </c>
    </row>
    <row r="16" spans="1:8" x14ac:dyDescent="0.25">
      <c r="A16" t="s">
        <v>8</v>
      </c>
      <c r="B16" t="s">
        <v>7</v>
      </c>
      <c r="C16" t="s">
        <v>61</v>
      </c>
      <c r="D16" t="s">
        <v>9</v>
      </c>
      <c r="E16" t="s">
        <v>10</v>
      </c>
      <c r="F16" t="s">
        <v>10</v>
      </c>
      <c r="G16" t="s">
        <v>26</v>
      </c>
    </row>
    <row r="17" spans="1:7" x14ac:dyDescent="0.25">
      <c r="B17" t="s">
        <v>43</v>
      </c>
    </row>
    <row r="18" spans="1:7" x14ac:dyDescent="0.25">
      <c r="A18" t="s">
        <v>8</v>
      </c>
      <c r="B18" t="s">
        <v>7</v>
      </c>
      <c r="C18" t="s">
        <v>61</v>
      </c>
      <c r="D18" t="s">
        <v>9</v>
      </c>
      <c r="E18" t="s">
        <v>44</v>
      </c>
      <c r="F18" t="s">
        <v>44</v>
      </c>
      <c r="G18" t="s">
        <v>26</v>
      </c>
    </row>
    <row r="19" spans="1:7" x14ac:dyDescent="0.25">
      <c r="A19" t="s">
        <v>8</v>
      </c>
      <c r="B19" t="s">
        <v>7</v>
      </c>
      <c r="C19" t="s">
        <v>61</v>
      </c>
      <c r="D19" t="s">
        <v>9</v>
      </c>
      <c r="E19" t="s">
        <v>46</v>
      </c>
      <c r="F19" t="s">
        <v>46</v>
      </c>
      <c r="G19" t="s">
        <v>26</v>
      </c>
    </row>
    <row r="20" spans="1:7" x14ac:dyDescent="0.25">
      <c r="A20" t="s">
        <v>8</v>
      </c>
      <c r="B20" t="s">
        <v>7</v>
      </c>
      <c r="C20" t="s">
        <v>61</v>
      </c>
      <c r="D20" t="s">
        <v>9</v>
      </c>
      <c r="E20" t="s">
        <v>48</v>
      </c>
      <c r="F20" t="s">
        <v>48</v>
      </c>
      <c r="G20" t="s">
        <v>26</v>
      </c>
    </row>
    <row r="21" spans="1:7" x14ac:dyDescent="0.25">
      <c r="A21" t="s">
        <v>8</v>
      </c>
      <c r="B21" t="s">
        <v>7</v>
      </c>
      <c r="C21" t="s">
        <v>61</v>
      </c>
      <c r="D21" t="s">
        <v>9</v>
      </c>
      <c r="E21" t="s">
        <v>50</v>
      </c>
      <c r="F21" t="s">
        <v>50</v>
      </c>
      <c r="G21" t="s">
        <v>26</v>
      </c>
    </row>
    <row r="22" spans="1:7" x14ac:dyDescent="0.25">
      <c r="A22" t="s">
        <v>8</v>
      </c>
      <c r="B22" t="s">
        <v>7</v>
      </c>
      <c r="C22" t="s">
        <v>61</v>
      </c>
      <c r="D22" t="s">
        <v>9</v>
      </c>
      <c r="E22" t="s">
        <v>52</v>
      </c>
      <c r="F22" t="s">
        <v>52</v>
      </c>
      <c r="G22" t="s">
        <v>26</v>
      </c>
    </row>
    <row r="23" spans="1:7" x14ac:dyDescent="0.25">
      <c r="A23" t="s">
        <v>59</v>
      </c>
      <c r="B23" t="s">
        <v>54</v>
      </c>
      <c r="C23" s="1" t="s">
        <v>55</v>
      </c>
      <c r="D23" t="s">
        <v>55</v>
      </c>
      <c r="E23" t="s">
        <v>56</v>
      </c>
      <c r="F23" t="s">
        <v>56</v>
      </c>
      <c r="G23" t="s">
        <v>58</v>
      </c>
    </row>
    <row r="25" spans="1:7" x14ac:dyDescent="0.25">
      <c r="B25" t="str">
        <f>_xlfn.CONCAT("insert into EDRTLRP1D.",F2," select * from ",C2,".",E2," ",G2,"; COMMIT;")</f>
        <v>insert into EDRTLRP1D.BASEL_PSNL_LOAN_MTH_SNAPSHOT select * from EDRTLRU1D.BASEL_PSNL_LOAN_MTH_SNAPSHOT where mth_tm_id in (18916,18956,18996,19036); COMMIT;</v>
      </c>
    </row>
    <row r="26" spans="1:7" x14ac:dyDescent="0.25">
      <c r="B26" t="str">
        <f t="shared" ref="B26:B46" si="0">_xlfn.CONCAT("insert into EDRTLRP1D.",F3," select * from ",C3,".",E3," ",G3,"; COMMIT;")</f>
        <v>insert into EDRTLRP1D.BASEL_PSNL_LOAN_ACCT_DRVD_VARS select * from EDRTLRU1D.BASEL_PSNL_LOAN_ACCT_DRVD_VARS where mth_tm_id in (18916,18956,18996,19036); COMMIT;</v>
      </c>
    </row>
    <row r="27" spans="1:7" x14ac:dyDescent="0.25">
      <c r="B27" t="str">
        <f t="shared" si="0"/>
        <v>insert into EDRTLRP1D.BASEL_PSNL_LOAN_ACCT_DRVD_VARS_2 select * from EDRTLRU1D.BASEL_PSNL_LOAN_ACCT_DRVD_VARS_2 where mth_tm_id in (18916,18956,18996,19036); COMMIT;</v>
      </c>
    </row>
    <row r="28" spans="1:7" x14ac:dyDescent="0.25">
      <c r="B28" t="str">
        <f t="shared" si="0"/>
        <v>insert into EDRTLRP1D.BASEL_PSNL_LOAN_CUST_DRVD_VARS select * from EDRTLRU1D.BASEL_PSNL_LOAN_CUST_DRVD_VARS where mth_tm_id in (18916,18956,18996,19036); COMMIT;</v>
      </c>
      <c r="C28" s="1"/>
    </row>
    <row r="29" spans="1:7" x14ac:dyDescent="0.25">
      <c r="B29" t="str">
        <f t="shared" si="0"/>
        <v>insert into EDRTLRP1D.BASEL_PSNL_LN_ACCT_SC_DRVD_VAR select * from EDRTLRU1D.BASEL_PSNL_LN_ACCT_SC_DRVD_VAR where mth_tm_id in (18916,18956,18996,19036); COMMIT;</v>
      </c>
    </row>
    <row r="30" spans="1:7" x14ac:dyDescent="0.25">
      <c r="B30" t="str">
        <f t="shared" si="0"/>
        <v>insert into EDRTLRP1D.BASEL_PSNL_LN_CU_SC_DRVD_VARS select * from EDRTLRU1D.BASEL_PSNL_LN_CU_SC_DRVD_VARS where mth_tm_id in (18916,18956,18996,19036); COMMIT;</v>
      </c>
    </row>
    <row r="31" spans="1:7" x14ac:dyDescent="0.25">
      <c r="B31" t="str">
        <f t="shared" si="0"/>
        <v>insert into EDRTLRP1D.BASEL_PNL_LN_SCORE_DTL_SNAPSHOT select * from EDRTLRU1D.BASEL_PNL_LN_SCORE_DTL_SNAPSHOT where mth_tm_id in (18916,18956,18996,19036); COMMIT;</v>
      </c>
    </row>
    <row r="32" spans="1:7" x14ac:dyDescent="0.25">
      <c r="B32" t="str">
        <f t="shared" si="0"/>
        <v>insert into EDRTLRP1D.PSNL_LOAN_OBSVTN_PT_DRVD_VAR select * from EDRTLRU1D.PSNL_LOAN_OBSVTN_PT_DRVD_VAR where process_mth_tm_id &gt;= 18916; COMMIT;</v>
      </c>
    </row>
    <row r="33" spans="2:2" x14ac:dyDescent="0.25">
      <c r="B33" t="str">
        <f t="shared" si="0"/>
        <v>insert into EDRTLRP1D.BASEL_PNL_LN_SCORE_SNAPSHOT select * from EDRTLRU1D.BASEL_PNL_LN_SCORE_SNAPSHOT where mth_tm_id in (18916,18956,18996,19036); COMMIT;</v>
      </c>
    </row>
    <row r="34" spans="2:2" x14ac:dyDescent="0.25">
      <c r="B34" t="str">
        <f t="shared" si="0"/>
        <v>insert into EDRTLRP1D.PSNL_LN_LGD_OBSVT_PT_RELZ_RCVR select * from EDRTLRU1D.PSNL_LN_LGD_OBSVT_PT_RELZ_RCVR where process_mth_tm_id in (18916,18956,18996,19036); COMMIT;</v>
      </c>
    </row>
    <row r="35" spans="2:2" x14ac:dyDescent="0.25">
      <c r="B35" t="str">
        <f t="shared" si="0"/>
        <v>insert into EDRTLRP1D.PSNL_LN_LGD_OBSVT_PT_RELZ_COST select * from EDRTLRU1D.PSNL_LN_LGD_OBSVT_PT_RELZ_COST where process_mth_tm_id in (18916,18956,18996,19036); COMMIT;</v>
      </c>
    </row>
    <row r="36" spans="2:2" x14ac:dyDescent="0.25">
      <c r="B36" t="str">
        <f t="shared" si="0"/>
        <v>insert into EDRTLRP1D.PSNL_LN_LGD_OBSVT_PT_RELZ_VAL select * from EDRTLRU1D.PSNL_LN_LGD_OBSVT_PT_RELZ_VAL where process_mth_tm_id in (18916,18956,18996,19036); COMMIT;</v>
      </c>
    </row>
    <row r="37" spans="2:2" x14ac:dyDescent="0.25">
      <c r="B37" t="str">
        <f t="shared" si="0"/>
        <v>insert into EDRTLRP1D.PSNL_LOAN_MTH_ACCT_RCVRY select * from EDRTLRU1D.PSNL_LOAN_MTH_ACCT_RCVRY where mth_tm_id in (18916,18956,18996,19036); COMMIT;</v>
      </c>
    </row>
    <row r="38" spans="2:2" x14ac:dyDescent="0.25">
      <c r="B38" t="str">
        <f t="shared" si="0"/>
        <v>insert into EDRTLRP1D.BASEL_PNL_LN_PD_SEG_ACCT_XREF select * from EDRTLRU1D.BASEL_PNL_LN_PD_SEG_ACCT_XREF where mth_tm_id in (18916,18956,18996,19036); COMMIT;</v>
      </c>
    </row>
    <row r="39" spans="2:2" x14ac:dyDescent="0.25">
      <c r="B39" t="str">
        <f t="shared" si="0"/>
        <v>insert into EDRTLRP1D.BASEL_PNL_LN_LGD_SEG_ACCT_XREF select * from EDRTLRU1D.BASEL_PNL_LN_LGD_SEG_ACCT_XREF where mth_tm_id in (18916,18956,18996,19036); COMMIT;</v>
      </c>
    </row>
    <row r="41" spans="2:2" x14ac:dyDescent="0.25">
      <c r="B41" t="str">
        <f t="shared" si="0"/>
        <v>insert into EDRTLRP1D.BASEL_PNL_LN_PD_SEG_MTH_RLZ_VAL select * from EDRTLRU1D.BASEL_PNL_LN_PD_SEG_MTH_RLZ_VAL where mth_tm_id in (18916,18956,18996,19036); COMMIT;</v>
      </c>
    </row>
    <row r="42" spans="2:2" x14ac:dyDescent="0.25">
      <c r="B42" t="str">
        <f t="shared" si="0"/>
        <v>insert into EDRTLRP1D.BASEL_PNL_LN_LGD_SEG_MTH_RLZ_VAL select * from EDRTLRU1D.BASEL_PNL_LN_LGD_SEG_MTH_RLZ_VAL where mth_tm_id in (18916,18956,18996,19036); COMMIT;</v>
      </c>
    </row>
    <row r="43" spans="2:2" x14ac:dyDescent="0.25">
      <c r="B43" t="str">
        <f t="shared" si="0"/>
        <v>insert into EDRTLRP1D.BASEL_PSNL_LOAN_INSTRMNT_ADJ select * from EDRTLRU1D.BASEL_PSNL_LOAN_INSTRMNT_ADJ where mth_tm_id in (18916,18956,18996,19036); COMMIT;</v>
      </c>
    </row>
    <row r="44" spans="2:2" x14ac:dyDescent="0.25">
      <c r="B44" t="str">
        <f t="shared" si="0"/>
        <v>insert into EDRTLRP1D.BASEL_PSNL_LOAN_RPTG_DRVD_VARS select * from EDRTLRU1D.BASEL_PSNL_LOAN_RPTG_DRVD_VARS where mth_tm_id in (18916,18956,18996,19036); COMMIT;</v>
      </c>
    </row>
    <row r="45" spans="2:2" x14ac:dyDescent="0.25">
      <c r="B45" t="str">
        <f t="shared" si="0"/>
        <v>insert into EDRTLRP1D.BASEL_PSNL_LN_ANL_BL_INST_FACT select * from EDRTLRU1D.BASEL_PSNL_LN_ANL_BL_INST_FACT where mth_tm_id in (18916,18956,18996,19036); COMMIT;</v>
      </c>
    </row>
    <row r="46" spans="2:2" x14ac:dyDescent="0.25">
      <c r="B46" t="str">
        <f t="shared" si="0"/>
        <v>insert into EDRTLRP1D.BASEL_ANALYTCL_BL_INSTRMNT_FACT select * from EDRRAPT.BASEL_ANALYTCL_BL_INSTRMNT_FACT where SRC_SYS_CD='SPL' and mth_tm_id in (18916,18956,18996,19036); COMMIT;</v>
      </c>
    </row>
  </sheetData>
  <autoFilter ref="A1:G16" xr:uid="{AEA19D31-C264-4B29-BA99-BF7835EAE07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00 - ReadMe</vt:lpstr>
      <vt:lpstr>01 - Backup Data</vt:lpstr>
      <vt:lpstr>02 - Delete Data</vt:lpstr>
      <vt:lpstr>03 - Insert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Tewari, Gaurav</dc:creator>
  <cp:lastModifiedBy>Dimashkieh, Hadi</cp:lastModifiedBy>
  <dcterms:created xsi:type="dcterms:W3CDTF">2021-12-21T04:38:44Z</dcterms:created>
  <dcterms:modified xsi:type="dcterms:W3CDTF">2022-06-17T17:37:50Z</dcterms:modified>
</cp:coreProperties>
</file>