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nesh_WRK\Work\JIRA\RRMSS-3188\"/>
    </mc:Choice>
  </mc:AlternateContent>
  <xr:revisionPtr revIDLastSave="0" documentId="13_ncr:1_{B457E9E5-17FF-4081-A45A-C94D2CB00D64}" xr6:coauthVersionLast="47" xr6:coauthVersionMax="47" xr10:uidLastSave="{00000000-0000-0000-0000-000000000000}"/>
  <bookViews>
    <workbookView xWindow="-110" yWindow="-110" windowWidth="25820" windowHeight="15620" xr2:uid="{147FBCB6-7D77-44EA-B317-18202A343B96}"/>
  </bookViews>
  <sheets>
    <sheet name="Query Sheet" sheetId="1" r:id="rId1"/>
    <sheet name="Examp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14" i="2"/>
  <c r="G13" i="2"/>
  <c r="G12" i="2"/>
  <c r="G11" i="2"/>
  <c r="G10" i="2"/>
  <c r="G9" i="2"/>
  <c r="G7" i="2"/>
  <c r="G8" i="2"/>
  <c r="G6" i="2"/>
  <c r="G5" i="2"/>
  <c r="G4" i="2"/>
  <c r="G3" i="2"/>
  <c r="G2" i="2"/>
  <c r="F15" i="2"/>
  <c r="E15" i="2"/>
  <c r="F14" i="2"/>
  <c r="F13" i="2"/>
  <c r="E14" i="2"/>
  <c r="E13" i="2"/>
  <c r="F12" i="2"/>
  <c r="E12" i="2"/>
  <c r="F11" i="2"/>
  <c r="F10" i="2"/>
  <c r="E11" i="2"/>
  <c r="E10" i="2"/>
  <c r="F9" i="2"/>
  <c r="E9" i="2"/>
  <c r="F8" i="2"/>
  <c r="F7" i="2"/>
  <c r="F6" i="2"/>
  <c r="F5" i="2"/>
  <c r="E8" i="2"/>
  <c r="E7" i="2"/>
  <c r="E6" i="2"/>
  <c r="E5" i="2"/>
  <c r="D15" i="2"/>
  <c r="C15" i="2"/>
  <c r="D12" i="2"/>
  <c r="C12" i="2"/>
  <c r="D9" i="2"/>
  <c r="C9" i="2"/>
  <c r="D4" i="2"/>
  <c r="F3" i="2" s="1"/>
  <c r="C4" i="2"/>
  <c r="E2" i="2" s="1"/>
  <c r="E3" i="2" l="1"/>
  <c r="E4" i="2" s="1"/>
  <c r="F2" i="2"/>
  <c r="F4" i="2" s="1"/>
</calcChain>
</file>

<file path=xl/sharedStrings.xml><?xml version="1.0" encoding="utf-8"?>
<sst xmlns="http://schemas.openxmlformats.org/spreadsheetml/2006/main" count="45" uniqueCount="29">
  <si>
    <t>AT29max6m(X1)</t>
  </si>
  <si>
    <t>&lt;=4</t>
  </si>
  <si>
    <t>&gt;4</t>
  </si>
  <si>
    <t>VAR_NM</t>
  </si>
  <si>
    <t>BINS</t>
  </si>
  <si>
    <t>IND_DELQsum24m(X3)</t>
  </si>
  <si>
    <t>1 or 2</t>
  </si>
  <si>
    <t>2&lt;x&lt;=8</t>
  </si>
  <si>
    <t>&gt;8</t>
  </si>
  <si>
    <t>IND_JOINT(X4)</t>
  </si>
  <si>
    <t>S01,S02,S03,S04,S06</t>
  </si>
  <si>
    <t>S07</t>
  </si>
  <si>
    <t>PRODUCT_ID(X5)</t>
  </si>
  <si>
    <t>BASE_CNT</t>
  </si>
  <si>
    <t>CURRENT_CNT</t>
  </si>
  <si>
    <t>subtotal</t>
  </si>
  <si>
    <t>SELECT count(*) FROM (
SELECT
	BASEL_PSNL_LOAN_ACCT_DRVD_VARS_2.BASEL_ACCT_ID,
	BASEL_PSNL_LOAN_ACCT_DRVD_VARS_2.MTH_TM_ID
FROM
	EDRTLRP1D.BASEL_PSNL_LOAN_ACCT_DRVD_VARS_2 BASEL_PSNL_LOAN_ACCT_DRVD_VARS_2
LEFT OUTER JOIN EDRTLRP1D.BASEL_PSNL_LN_CU_SC_DRVD_VARS BASEL_PSNL_LN_CU_SC_DRVD_VARS ON
	BASEL_PSNL_LN_CU_SC_DRVD_VARS.basel_cust_id = BASEL_PSNL_LOAN_ACCT_DRVD_VARS_2.basel_cust_id
	AND BASEL_PSNL_LOAN_ACCT_DRVD_VARS_2.mth_tm_id = BASEL_PSNL_LN_CU_SC_DRVD_VARS.mth_tm_id
WHERE
	BASEL_PSNL_LOAN_ACCT_DRVD_VARS_2.TREATMNT_F = 'A'
	AND BASEL_PSNL_LOAN_ACCT_DRVD_VARS_2.PIT_STATUS_V2 = 'CUR'
	AND BASEL_PSNL_LOAN_ACCT_DRVD_VARS_2.SUB_PORTFL = 'DIRECT' AND BASEL_PSNL_LOAN_ACCT_DRVD_VARS_2.PRD_ID NOT IN  ('S05','S08') 
	AND BASEL_PSNL_LOAN_ACCT_DRVD_VARS_2.MTH_TM_ID = 20356
	AND BASEL_PSNL_LN_CU_SC_DRVD_VARS.AT29MAX6M &gt;4);</t>
  </si>
  <si>
    <r>
      <t xml:space="preserve">SELECT count(*) FROM (
SELECT
	BASEL_PSNL_LOAN_ACCT_DRVD_VARS_2.BASEL_ACCT_ID,
	BASEL_PSNL_LOAN_ACCT_DRVD_VARS_2.MTH_TM_ID
FROM
	EDRTLRP1D.BASEL_PSNL_LOAN_ACCT_DRVD_VARS_2 BASEL_PSNL_LOAN_ACCT_DRVD_VARS_2
LEFT OUTER JOIN EDRTLRP1D.BASEL_PSNL_LN_ACCT_SC_DRVD_VAR BASEL_PSNL_LN_ACCT_SC_DRVD_VAR ON
	BASEL_PSNL_LOAN_ACCT_DRVD_VARS_2.basel_acct_id = BASEL_PSNL_LN_ACCT_SC_DRVD_VAR.basel_acct_id
	AND BASEL_PSNL_LOAN_ACCT_DRVD_VARS_2.mth_tm_id = BASEL_PSNL_LN_ACCT_SC_DRVD_VAR.mth_tm_id
WHERE
	BASEL_PSNL_LOAN_ACCT_DRVD_VARS_2.TREATMNT_F = 'A'
	AND BASEL_PSNL_LOAN_ACCT_DRVD_VARS_2.PIT_STATUS_V2 = 'CUR'
	AND BASEL_PSNL_LOAN_ACCT_DRVD_VARS_2.SUB_PORTFL = 'DIRECT'  AND BASEL_PSNL_LOAN_ACCT_DRVD_VARS_2.PRD_ID NOT IN  ('S05','S08') 
	AND BASEL_PSNL_LOAN_ACCT_DRVD_VARS_2.MTH_TM_ID = </t>
    </r>
    <r>
      <rPr>
        <sz val="11"/>
        <color rgb="FFFF0000"/>
        <rFont val="Calibri"/>
        <family val="2"/>
        <scheme val="minor"/>
      </rPr>
      <t>20356</t>
    </r>
    <r>
      <rPr>
        <sz val="11"/>
        <color theme="1"/>
        <rFont val="Calibri"/>
        <family val="2"/>
        <scheme val="minor"/>
      </rPr>
      <t xml:space="preserve">
	AND BASEL_PSNL_LN_ACCT_SC_DRVD_VAR.IND_DELQSUM24M IN (1,2));</t>
    </r>
  </si>
  <si>
    <r>
      <t xml:space="preserve">SELECT count(*) FROM (
SELECT
	BASEL_PSNL_LOAN_ACCT_DRVD_VARS_2.BASEL_ACCT_ID,
	BASEL_PSNL_LOAN_ACCT_DRVD_VARS_2.MTH_TM_ID
FROM
	EDRTLRP1D.BASEL_PSNL_LOAN_ACCT_DRVD_VARS_2 BASEL_PSNL_LOAN_ACCT_DRVD_VARS_2
LEFT OUTER JOIN EDRTLRP1D.BASEL_PSNL_LN_ACCT_SC_DRVD_VAR BASEL_PSNL_LN_ACCT_SC_DRVD_VAR ON
	BASEL_PSNL_LOAN_ACCT_DRVD_VARS_2.basel_acct_id = BASEL_PSNL_LN_ACCT_SC_DRVD_VAR.basel_acct_id
	AND BASEL_PSNL_LOAN_ACCT_DRVD_VARS_2.mth_tm_id = BASEL_PSNL_LN_ACCT_SC_DRVD_VAR.mth_tm_id
WHERE
	BASEL_PSNL_LOAN_ACCT_DRVD_VARS_2.TREATMNT_F = 'A'
	AND BASEL_PSNL_LOAN_ACCT_DRVD_VARS_2.PIT_STATUS_V2 = 'CUR'
	AND BASEL_PSNL_LOAN_ACCT_DRVD_VARS_2.SUB_PORTFL = 'DIRECT'
	AND BASEL_PSNL_LOAN_ACCT_DRVD_VARS_2.MTH_TM_ID = </t>
    </r>
    <r>
      <rPr>
        <sz val="11"/>
        <color rgb="FFFF0000"/>
        <rFont val="Calibri"/>
        <family val="2"/>
        <scheme val="minor"/>
      </rPr>
      <t xml:space="preserve">20356  </t>
    </r>
    <r>
      <rPr>
        <sz val="11"/>
        <color theme="1"/>
        <rFont val="Calibri"/>
        <family val="2"/>
        <scheme val="minor"/>
      </rPr>
      <t>AND BASEL_PSNL_LOAN_ACCT_DRVD_VARS_2.PRD_ID NOT IN  ('S05','S08')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
	AND (2 &lt; BASEL_PSNL_LN_ACCT_SC_DRVD_VAR.IND_DELQSUM24M
	AND BASEL_PSNL_LN_ACCT_SC_DRVD_VAR.IND_DELQSUM24M &lt;= 8));</t>
    </r>
  </si>
  <si>
    <r>
      <t xml:space="preserve">SELECT count(*) FROM (
SELECT
	BASEL_PSNL_LOAN_ACCT_DRVD_VARS_2.BASEL_ACCT_ID,
	BASEL_PSNL_LOAN_ACCT_DRVD_VARS_2.MTH_TM_ID
FROM
	EDRTLRP1D.BASEL_PSNL_LOAN_ACCT_DRVD_VARS_2 BASEL_PSNL_LOAN_ACCT_DRVD_VARS_2
LEFT OUTER JOIN EDRTLRP1D.BASEL_PSNL_LN_ACCT_SC_DRVD_VAR BASEL_PSNL_LN_ACCT_SC_DRVD_VAR ON
	BASEL_PSNL_LOAN_ACCT_DRVD_VARS_2.basel_acct_id = BASEL_PSNL_LN_ACCT_SC_DRVD_VAR.basel_acct_id
	AND BASEL_PSNL_LOAN_ACCT_DRVD_VARS_2.mth_tm_id = BASEL_PSNL_LN_ACCT_SC_DRVD_VAR.mth_tm_id
WHERE
	BASEL_PSNL_LOAN_ACCT_DRVD_VARS_2.TREATMNT_F = 'A'
	AND BASEL_PSNL_LOAN_ACCT_DRVD_VARS_2.PIT_STATUS_V2 = 'CUR'
	AND BASEL_PSNL_LOAN_ACCT_DRVD_VARS_2.SUB_PORTFL = 'DIRECT' AND BASEL_PSNL_LOAN_ACCT_DRVD_VARS_2.PRD_ID NOT IN  ('S05','S08') AND BASEL_PSNL_LOAN_ACCT_DRVD_VARS_2.MTH_TM_ID = </t>
    </r>
    <r>
      <rPr>
        <sz val="11"/>
        <color rgb="FFFF0000"/>
        <rFont val="Calibri"/>
        <family val="2"/>
        <scheme val="minor"/>
      </rPr>
      <t>20356</t>
    </r>
    <r>
      <rPr>
        <sz val="11"/>
        <color theme="1"/>
        <rFont val="Calibri"/>
        <family val="2"/>
        <scheme val="minor"/>
      </rPr>
      <t xml:space="preserve">
	AND BASEL_PSNL_LN_ACCT_SC_DRVD_VAR.IND_DELQSUM24M &gt;8);</t>
    </r>
  </si>
  <si>
    <t>SELECT count(*) FROM (
SELECT
	BASEL_PSNL_LOAN_ACCT_DRVD_VARS_2.BASEL_ACCT_ID,
	BASEL_PSNL_LOAN_ACCT_DRVD_VARS_2.MTH_TM_ID
FROM
	EDRTLRP1D.BASEL_PSNL_LOAN_ACCT_DRVD_VARS_2 BASEL_PSNL_LOAN_ACCT_DRVD_VARS_2
LEFT OUTER JOIN EDRTLRP1D.BASEL_PSNL_LN_ACCT_SC_DRVD_VAR BASEL_PSNL_LN_ACCT_SC_DRVD_VAR ON
	BASEL_PSNL_LOAN_ACCT_DRVD_VARS_2.basel_acct_id = BASEL_PSNL_LN_ACCT_SC_DRVD_VAR.basel_acct_id
	AND BASEL_PSNL_LOAN_ACCT_DRVD_VARS_2.mth_tm_id = BASEL_PSNL_LN_ACCT_SC_DRVD_VAR.mth_tm_id
WHERE
	BASEL_PSNL_LOAN_ACCT_DRVD_VARS_2.TREATMNT_F = 'A'
	AND BASEL_PSNL_LOAN_ACCT_DRVD_VARS_2.PIT_STATUS_V2 = 'CUR'
	AND BASEL_PSNL_LOAN_ACCT_DRVD_VARS_2.SUB_PORTFL = 'DIRECT' AND BASEL_PSNL_LOAN_ACCT_DRVD_VARS_2.PRD_ID NOT IN  ('S05','S08') AND BASEL_PSNL_LOAN_ACCT_DRVD_VARS_2.MTH_TM_ID = 20356
	AND BASEL_PSNL_LN_ACCT_SC_DRVD_VAR.IND_JOINT=1);</t>
  </si>
  <si>
    <t>BASE_CNT%</t>
  </si>
  <si>
    <t>CURRENT_CNT%</t>
  </si>
  <si>
    <t>si</t>
  </si>
  <si>
    <t>SELECT count(*) FROM (
SELECT
	BASEL_PSNL_LOAN_ACCT_DRVD_VARS_2.BASEL_ACCT_ID,
	BASEL_PSNL_LOAN_ACCT_DRVD_VARS_2.MTH_TM_ID
FROM
	EDRTLRP1D.BASEL_PSNL_LOAN_ACCT_DRVD_VARS_2 BASEL_PSNL_LOAN_ACCT_DRVD_VARS_2
LEFT OUTER JOIN EDRTLRP1D.BASEL_PSNL_LN_CU_SC_DRVD_VARS BASEL_PSNL_LN_CU_SC_DRVD_VARS ON
	BASEL_PSNL_LN_CU_SC_DRVD_VARS.basel_cust_id = BASEL_PSNL_LOAN_ACCT_DRVD_VARS_2.basel_cust_id
	AND BASEL_PSNL_LOAN_ACCT_DRVD_VARS_2.mth_tm_id = BASEL_PSNL_LN_CU_SC_DRVD_VARS.mth_tm_id
WHERE
	BASEL_PSNL_LOAN_ACCT_DRVD_VARS_2.TREATMNT_F = 'A'
	AND BASEL_PSNL_LOAN_ACCT_DRVD_VARS_2.PIT_STATUS_V2 = 'CUR'
	AND BASEL_PSNL_LOAN_ACCT_DRVD_VARS_2.SUB_PORTFL = 'DIRECT' AND BASEL_PSNL_LOAN_ACCT_DRVD_VARS_2.PRD_ID NOT IN  ('S05','S08') 
	AND BASEL_PSNL_LOAN_ACCT_DRVD_VARS_2.MTH_TM_ID = 20356
	AND (BASEL_PSNL_LN_CU_SC_DRVD_VARS.AT29MAX6M &lt;=4 OR BASEL_PSNL_LN_CU_SC_DRVD_VARS.AT29MAX6M IS NULL));</t>
  </si>
  <si>
    <t>SELECT count(*) FROM (
SELECT
	BASEL_PSNL_LOAN_ACCT_DRVD_VARS_2.BASEL_ACCT_ID,
	BASEL_PSNL_LOAN_ACCT_DRVD_VARS_2.MTH_TM_ID
FROM
	EDRTLRP1D.BASEL_PSNL_LOAN_ACCT_DRVD_VARS_2 BASEL_PSNL_LOAN_ACCT_DRVD_VARS_2
LEFT OUTER JOIN EDRTLRP1D.BASEL_PSNL_LN_ACCT_SC_DRVD_VAR BASEL_PSNL_LN_ACCT_SC_DRVD_VAR ON
	BASEL_PSNL_LOAN_ACCT_DRVD_VARS_2.basel_acct_id = BASEL_PSNL_LN_ACCT_SC_DRVD_VAR.basel_acct_id
	AND BASEL_PSNL_LOAN_ACCT_DRVD_VARS_2.mth_tm_id = BASEL_PSNL_LN_ACCT_SC_DRVD_VAR.mth_tm_id
WHERE
	BASEL_PSNL_LOAN_ACCT_DRVD_VARS_2.TREATMNT_F = 'A'
	AND BASEL_PSNL_LOAN_ACCT_DRVD_VARS_2.PIT_STATUS_V2 = 'CUR'
	AND BASEL_PSNL_LOAN_ACCT_DRVD_VARS_2.SUB_PORTFL = 'DIRECT'  AND BASEL_PSNL_LOAN_ACCT_DRVD_VARS_2.PRD_ID NOT IN  ('S05','S08') 
	AND BASEL_PSNL_LOAN_ACCT_DRVD_VARS_2.MTH_TM_ID = 20356
	AND (BASEL_PSNL_LN_ACCT_SC_DRVD_VAR.IND_DELQSUM24M = 0 OR BASEL_PSNL_LN_ACCT_SC_DRVD_VAR.IND_DELQSUM24M IS NULL));</t>
  </si>
  <si>
    <t>SELECT count(*) FROM (
SELECT
	BASEL_PSNL_LOAN_ACCT_DRVD_VARS_2.BASEL_ACCT_ID,
	BASEL_PSNL_LOAN_ACCT_DRVD_VARS_2.MTH_TM_ID
FROM
	EDRTLRP1D.BASEL_PSNL_LOAN_ACCT_DRVD_VARS_2 BASEL_PSNL_LOAN_ACCT_DRVD_VARS_2
LEFT OUTER JOIN EDRTLRP1D.BASEL_PSNL_LN_ACCT_SC_DRVD_VAR BASEL_PSNL_LN_ACCT_SC_DRVD_VAR ON
	BASEL_PSNL_LOAN_ACCT_DRVD_VARS_2.basel_acct_id = BASEL_PSNL_LN_ACCT_SC_DRVD_VAR.basel_acct_id
	AND BASEL_PSNL_LOAN_ACCT_DRVD_VARS_2.mth_tm_id = BASEL_PSNL_LN_ACCT_SC_DRVD_VAR.mth_tm_id
WHERE
	BASEL_PSNL_LOAN_ACCT_DRVD_VARS_2.TREATMNT_F = 'A'
	AND BASEL_PSNL_LOAN_ACCT_DRVD_VARS_2.PIT_STATUS_V2 = 'CUR'
	AND BASEL_PSNL_LOAN_ACCT_DRVD_VARS_2.SUB_PORTFL = 'DIRECT' AND BASEL_PSNL_LOAN_ACCT_DRVD_VARS_2.PRD_ID NOT IN  ('S05','S08') 
	AND BASEL_PSNL_LOAN_ACCT_DRVD_VARS_2.MTH_TM_ID = 20356
	AND (BASEL_PSNL_LN_ACCT_SC_DRVD_VAR.IND_JOINT=0 OR BASEL_PSNL_LN_ACCT_SC_DRVD_VAR.IND_JOINT IS NULL));</t>
  </si>
  <si>
    <t>SELECT count(*) FROM (
SELECT
	BASEL_PSNL_LOAN_ACCT_DRVD_VARS_2.BASEL_ACCT_ID,
	BASEL_PSNL_LOAN_ACCT_DRVD_VARS_2.MTH_TM_ID
FROM
	EDRTLRP1D.BASEL_PSNL_LOAN_ACCT_DRVD_VARS_2 BASEL_PSNL_LOAN_ACCT_DRVD_VARS_2
WHERE
	BASEL_PSNL_LOAN_ACCT_DRVD_VARS_2.TREATMNT_F = 'A'
	AND BASEL_PSNL_LOAN_ACCT_DRVD_VARS_2.PIT_STATUS_V2 = 'CUR'
	AND BASEL_PSNL_LOAN_ACCT_DRVD_VARS_2.SUB_PORTFL = 'DIRECT'
	AND BASEL_PSNL_LOAN_ACCT_DRVD_VARS_2.MTH_TM_ID = 20356
	AND BASEL_PSNL_LOAN_ACCT_DRVD_VARS_2.PRD_ID = ('S07'));</t>
  </si>
  <si>
    <t>SELECT count(*) FROM (
SELECT
	BASEL_PSNL_LOAN_ACCT_DRVD_VARS_2.BASEL_ACCT_ID,
	BASEL_PSNL_LOAN_ACCT_DRVD_VARS_2.MTH_TM_ID
FROM
	EDRTLRP1D.BASEL_PSNL_LOAN_ACCT_DRVD_VARS_2 BASEL_PSNL_LOAN_ACCT_DRVD_VARS_2
WHERE
	BASEL_PSNL_LOAN_ACCT_DRVD_VARS_2.TREATMNT_F = 'A'
	AND BASEL_PSNL_LOAN_ACCT_DRVD_VARS_2.PIT_STATUS_V2 = 'CUR'
	AND BASEL_PSNL_LOAN_ACCT_DRVD_VARS_2.SUB_PORTFL = 'DIRECT'
	AND BASEL_PSNL_LOAN_ACCT_DRVD_VARS_2.MTH_TM_ID = 20356
	AND BASEL_PSNL_LOAN_ACCT_DRVD_VARS_2.PRD_ID = ('S01','S02','S03','S04','S06'));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</si>
</sst>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10" fontId="0" fillId="0" borderId="0" xfId="1" applyNumberFormat="1" applyFont="1"/>
    <xf numFmtId="0" fontId="2" fillId="0" borderId="3" xfId="0" applyFont="1" applyFill="1" applyBorder="1"/>
    <xf numFmtId="164" fontId="0" fillId="0" borderId="0" xfId="0" applyNumberFormat="1"/>
    <xf numFmtId="0" fontId="0" fillId="2" borderId="0" xfId="0" applyFill="1"/>
    <xf numFmtId="9" fontId="0" fillId="2" borderId="0" xfId="1" applyFont="1" applyFill="1"/>
    <xf numFmtId="10" fontId="0" fillId="2" borderId="0" xfId="0" applyNumberFormat="1" applyFill="1"/>
    <xf numFmtId="0" fontId="4" fillId="3" borderId="4" xfId="0" applyFont="1" applyFill="1" applyBorder="1" applyAlignment="1">
      <alignment horizontal="right" wrapText="1"/>
    </xf>
    <xf numFmtId="10" fontId="4" fillId="3" borderId="4" xfId="0" applyNumberFormat="1" applyFont="1" applyFill="1" applyBorder="1" applyAlignment="1">
      <alignment horizontal="right" wrapText="1"/>
    </xf>
    <xf numFmtId="164" fontId="0" fillId="0" borderId="0" xfId="1" applyNumberFormat="1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A2C5A-0158-40EF-B88F-60706C4F8DD7}">
  <dimension ref="A1:D11"/>
  <sheetViews>
    <sheetView tabSelected="1" topLeftCell="A10" workbookViewId="0">
      <selection activeCell="D14" sqref="D14"/>
    </sheetView>
  </sheetViews>
  <sheetFormatPr defaultRowHeight="14.5" x14ac:dyDescent="0.35"/>
  <cols>
    <col min="1" max="1" width="20" bestFit="1" customWidth="1"/>
    <col min="2" max="3" width="14.54296875" customWidth="1"/>
    <col min="4" max="4" width="61.1796875" customWidth="1"/>
  </cols>
  <sheetData>
    <row r="1" spans="1:4" s="2" customFormat="1" x14ac:dyDescent="0.35">
      <c r="A1" s="5" t="s">
        <v>3</v>
      </c>
      <c r="B1" s="5" t="s">
        <v>4</v>
      </c>
      <c r="C1" s="5" t="s">
        <v>13</v>
      </c>
      <c r="D1" s="5" t="s">
        <v>14</v>
      </c>
    </row>
    <row r="2" spans="1:4" ht="319" x14ac:dyDescent="0.35">
      <c r="A2" s="21" t="s">
        <v>0</v>
      </c>
      <c r="B2" s="6" t="s">
        <v>1</v>
      </c>
      <c r="C2" s="6"/>
      <c r="D2" s="7" t="s">
        <v>24</v>
      </c>
    </row>
    <row r="3" spans="1:4" ht="304.5" x14ac:dyDescent="0.35">
      <c r="A3" s="21"/>
      <c r="B3" s="6" t="s">
        <v>2</v>
      </c>
      <c r="C3" s="6"/>
      <c r="D3" s="7" t="s">
        <v>16</v>
      </c>
    </row>
    <row r="4" spans="1:4" ht="333.5" x14ac:dyDescent="0.35">
      <c r="A4" s="22" t="s">
        <v>5</v>
      </c>
      <c r="B4" s="3">
        <v>0</v>
      </c>
      <c r="C4" s="10"/>
      <c r="D4" s="1" t="s">
        <v>25</v>
      </c>
    </row>
    <row r="5" spans="1:4" ht="319" x14ac:dyDescent="0.35">
      <c r="A5" s="23"/>
      <c r="B5" s="3" t="s">
        <v>6</v>
      </c>
      <c r="C5" s="10"/>
      <c r="D5" s="1" t="s">
        <v>17</v>
      </c>
    </row>
    <row r="6" spans="1:4" ht="319" x14ac:dyDescent="0.35">
      <c r="A6" s="23"/>
      <c r="B6" s="3" t="s">
        <v>7</v>
      </c>
      <c r="C6" s="10"/>
      <c r="D6" s="1" t="s">
        <v>18</v>
      </c>
    </row>
    <row r="7" spans="1:4" ht="304.5" x14ac:dyDescent="0.35">
      <c r="A7" s="23"/>
      <c r="B7" s="3" t="s">
        <v>8</v>
      </c>
      <c r="C7" s="10"/>
      <c r="D7" s="1" t="s">
        <v>19</v>
      </c>
    </row>
    <row r="8" spans="1:4" ht="319" x14ac:dyDescent="0.35">
      <c r="A8" s="24" t="s">
        <v>9</v>
      </c>
      <c r="B8" s="3">
        <v>0</v>
      </c>
      <c r="C8" s="10"/>
      <c r="D8" s="1" t="s">
        <v>26</v>
      </c>
    </row>
    <row r="9" spans="1:4" ht="304.5" x14ac:dyDescent="0.35">
      <c r="A9" s="24"/>
      <c r="B9" s="3">
        <v>1</v>
      </c>
      <c r="C9" s="10"/>
      <c r="D9" s="1" t="s">
        <v>20</v>
      </c>
    </row>
    <row r="10" spans="1:4" ht="203" x14ac:dyDescent="0.35">
      <c r="A10" s="24" t="s">
        <v>12</v>
      </c>
      <c r="B10" s="9" t="s">
        <v>10</v>
      </c>
      <c r="C10" s="9"/>
      <c r="D10" s="1" t="s">
        <v>28</v>
      </c>
    </row>
    <row r="11" spans="1:4" ht="188.5" x14ac:dyDescent="0.35">
      <c r="A11" s="24"/>
      <c r="B11" s="3" t="s">
        <v>11</v>
      </c>
      <c r="C11" s="10"/>
      <c r="D11" s="1" t="s">
        <v>27</v>
      </c>
    </row>
  </sheetData>
  <mergeCells count="4">
    <mergeCell ref="A2:A3"/>
    <mergeCell ref="A4:A7"/>
    <mergeCell ref="A8:A9"/>
    <mergeCell ref="A10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F3EA-1A28-4149-BED0-C2D47506FA7D}">
  <dimension ref="A1:P15"/>
  <sheetViews>
    <sheetView workbookViewId="0">
      <selection activeCell="G2" sqref="G2:G15"/>
    </sheetView>
  </sheetViews>
  <sheetFormatPr defaultRowHeight="14.5" x14ac:dyDescent="0.35"/>
  <cols>
    <col min="1" max="1" width="20.08984375" bestFit="1" customWidth="1"/>
    <col min="2" max="2" width="18.7265625" customWidth="1"/>
    <col min="3" max="3" width="9.36328125" bestFit="1" customWidth="1"/>
    <col min="4" max="4" width="13.08984375" bestFit="1" customWidth="1"/>
    <col min="5" max="5" width="10.81640625" bestFit="1" customWidth="1"/>
    <col min="6" max="6" width="14.54296875" bestFit="1" customWidth="1"/>
    <col min="16" max="16" width="22.08984375" bestFit="1" customWidth="1"/>
  </cols>
  <sheetData>
    <row r="1" spans="1:16" x14ac:dyDescent="0.35">
      <c r="C1" s="5" t="s">
        <v>13</v>
      </c>
      <c r="D1" s="5" t="s">
        <v>14</v>
      </c>
      <c r="E1" s="5" t="s">
        <v>21</v>
      </c>
      <c r="F1" s="5" t="s">
        <v>22</v>
      </c>
      <c r="G1" s="13" t="s">
        <v>23</v>
      </c>
    </row>
    <row r="2" spans="1:16" x14ac:dyDescent="0.35">
      <c r="A2" s="21" t="s">
        <v>0</v>
      </c>
      <c r="B2" s="6" t="s">
        <v>1</v>
      </c>
      <c r="C2">
        <v>8052</v>
      </c>
      <c r="D2">
        <v>7733</v>
      </c>
      <c r="E2" s="12">
        <f>C2/C4</f>
        <v>0.60719402759972851</v>
      </c>
      <c r="F2" s="12">
        <f>D2/D4</f>
        <v>0.59134358033188039</v>
      </c>
      <c r="G2" s="14">
        <f>(F2-E2)*LN(F2/E2)</f>
        <v>4.192631507315265E-4</v>
      </c>
    </row>
    <row r="3" spans="1:16" x14ac:dyDescent="0.35">
      <c r="A3" s="21"/>
      <c r="B3" s="6" t="s">
        <v>2</v>
      </c>
      <c r="C3">
        <v>5209</v>
      </c>
      <c r="D3">
        <v>5344</v>
      </c>
      <c r="E3" s="12">
        <f>C3/C4</f>
        <v>0.39280597240027149</v>
      </c>
      <c r="F3" s="12">
        <f>D3/D4</f>
        <v>0.40865641966811961</v>
      </c>
      <c r="G3" s="14">
        <f>(F3-E3)*LN(F3/E3)</f>
        <v>6.27027403498221E-4</v>
      </c>
    </row>
    <row r="4" spans="1:16" x14ac:dyDescent="0.35">
      <c r="A4" s="8" t="s">
        <v>15</v>
      </c>
      <c r="B4" s="11"/>
      <c r="C4" s="15">
        <f>SUM(C2:C3)</f>
        <v>13261</v>
      </c>
      <c r="D4" s="15">
        <f>SUM(D2:D3)</f>
        <v>13077</v>
      </c>
      <c r="E4" s="16">
        <f>SUM(E2:E3)</f>
        <v>1</v>
      </c>
      <c r="F4" s="17">
        <f>SUM(F2:F3)</f>
        <v>1</v>
      </c>
      <c r="G4" s="14">
        <f>SUM(G2:G3)</f>
        <v>1.0462905542297474E-3</v>
      </c>
    </row>
    <row r="5" spans="1:16" ht="15.5" x14ac:dyDescent="0.35">
      <c r="A5" s="22" t="s">
        <v>5</v>
      </c>
      <c r="B5" s="4">
        <v>0</v>
      </c>
      <c r="C5">
        <v>12093</v>
      </c>
      <c r="D5">
        <v>11945</v>
      </c>
      <c r="E5" s="12">
        <f>C5/C9</f>
        <v>0.91192217781464446</v>
      </c>
      <c r="F5" s="12">
        <f>D5/D9</f>
        <v>0.91343580331880403</v>
      </c>
      <c r="G5" s="14">
        <f>(F5-E5)*LN(F5/E5)</f>
        <v>2.5102612371269692E-6</v>
      </c>
      <c r="L5" s="18"/>
      <c r="M5" s="18"/>
      <c r="N5" s="19"/>
      <c r="O5" s="19"/>
      <c r="P5" s="18"/>
    </row>
    <row r="6" spans="1:16" x14ac:dyDescent="0.35">
      <c r="A6" s="23"/>
      <c r="B6" s="4" t="s">
        <v>6</v>
      </c>
      <c r="C6">
        <v>690</v>
      </c>
      <c r="D6">
        <v>684</v>
      </c>
      <c r="E6" s="12">
        <f>C6/C9</f>
        <v>5.2032275092376137E-2</v>
      </c>
      <c r="F6" s="12">
        <f>D6/D9</f>
        <v>5.2305574673090161E-2</v>
      </c>
      <c r="G6" s="14">
        <f>(F6-E6)*LN(F6/E6)</f>
        <v>1.4317494909436859E-6</v>
      </c>
    </row>
    <row r="7" spans="1:16" x14ac:dyDescent="0.35">
      <c r="A7" s="23"/>
      <c r="B7" s="4" t="s">
        <v>7</v>
      </c>
      <c r="C7">
        <v>343</v>
      </c>
      <c r="D7">
        <v>324</v>
      </c>
      <c r="E7" s="12">
        <f>C7/C9</f>
        <v>2.5865319357514516E-2</v>
      </c>
      <c r="F7" s="12">
        <f>D7/D9</f>
        <v>2.4776324845147971E-2</v>
      </c>
      <c r="G7" s="14">
        <f t="shared" ref="G7:G14" si="0">(F7-E7)*LN(F7/E7)</f>
        <v>4.6842550752346876E-5</v>
      </c>
      <c r="P7" s="20"/>
    </row>
    <row r="8" spans="1:16" x14ac:dyDescent="0.35">
      <c r="A8" s="23"/>
      <c r="B8" s="4" t="s">
        <v>8</v>
      </c>
      <c r="C8">
        <v>135</v>
      </c>
      <c r="D8">
        <v>124</v>
      </c>
      <c r="E8" s="12">
        <f>C8/C9</f>
        <v>1.0180227735464897E-2</v>
      </c>
      <c r="F8" s="12">
        <f>D8/D9</f>
        <v>9.4822971629578649E-3</v>
      </c>
      <c r="G8" s="14">
        <f t="shared" si="0"/>
        <v>4.9567572292913053E-5</v>
      </c>
    </row>
    <row r="9" spans="1:16" x14ac:dyDescent="0.35">
      <c r="A9" s="8" t="s">
        <v>15</v>
      </c>
      <c r="B9" s="4"/>
      <c r="C9" s="15">
        <f>SUM(C5:C8)</f>
        <v>13261</v>
      </c>
      <c r="D9" s="15">
        <f>SUM(D5:D8)</f>
        <v>13077</v>
      </c>
      <c r="E9" s="17">
        <f>SUM(E5:E8)</f>
        <v>1</v>
      </c>
      <c r="F9" s="17">
        <f>SUM(F5:F8)</f>
        <v>1</v>
      </c>
      <c r="G9" s="14">
        <f>SUM(G5:G8)</f>
        <v>1.0035213377333058E-4</v>
      </c>
    </row>
    <row r="10" spans="1:16" x14ac:dyDescent="0.35">
      <c r="A10" s="24" t="s">
        <v>9</v>
      </c>
      <c r="B10" s="4">
        <v>0</v>
      </c>
      <c r="C10">
        <v>10137</v>
      </c>
      <c r="D10">
        <v>10015</v>
      </c>
      <c r="E10" s="12">
        <f>C10/C12</f>
        <v>0.76442198929190863</v>
      </c>
      <c r="F10" s="12">
        <f>D10/D12</f>
        <v>0.76584843618566945</v>
      </c>
      <c r="G10" s="14">
        <f t="shared" si="0"/>
        <v>2.6593356261507557E-6</v>
      </c>
    </row>
    <row r="11" spans="1:16" x14ac:dyDescent="0.35">
      <c r="A11" s="24"/>
      <c r="B11" s="4">
        <v>1</v>
      </c>
      <c r="C11">
        <v>3124</v>
      </c>
      <c r="D11">
        <v>3062</v>
      </c>
      <c r="E11" s="12">
        <f>C11/C12</f>
        <v>0.2355780107080914</v>
      </c>
      <c r="F11" s="12">
        <f>D11/D12</f>
        <v>0.2341515638143305</v>
      </c>
      <c r="G11" s="14">
        <f t="shared" si="0"/>
        <v>8.6635251676771135E-6</v>
      </c>
    </row>
    <row r="12" spans="1:16" x14ac:dyDescent="0.35">
      <c r="A12" s="8" t="s">
        <v>15</v>
      </c>
      <c r="B12" s="4"/>
      <c r="C12" s="15">
        <f>SUM(C10:C11)</f>
        <v>13261</v>
      </c>
      <c r="D12" s="15">
        <f>SUM(D10:D11)</f>
        <v>13077</v>
      </c>
      <c r="E12" s="16">
        <f>SUM(E10:E11)</f>
        <v>1</v>
      </c>
      <c r="F12" s="17">
        <f>SUM(F10:F11)</f>
        <v>1</v>
      </c>
      <c r="G12" s="14">
        <f>SUM(G10:G11)</f>
        <v>1.1322860793827869E-5</v>
      </c>
    </row>
    <row r="13" spans="1:16" ht="43.5" customHeight="1" x14ac:dyDescent="0.35">
      <c r="A13" s="24" t="s">
        <v>12</v>
      </c>
      <c r="B13" s="9" t="s">
        <v>10</v>
      </c>
      <c r="C13">
        <v>1123</v>
      </c>
      <c r="D13">
        <v>1077</v>
      </c>
      <c r="E13" s="12">
        <f>C13/C15</f>
        <v>8.4684412940200585E-2</v>
      </c>
      <c r="F13" s="12">
        <f>D13/D15</f>
        <v>8.2358339068593717E-2</v>
      </c>
      <c r="G13" s="14">
        <f t="shared" si="0"/>
        <v>6.4785443838670769E-5</v>
      </c>
    </row>
    <row r="14" spans="1:16" x14ac:dyDescent="0.35">
      <c r="A14" s="24"/>
      <c r="B14" s="4" t="s">
        <v>11</v>
      </c>
      <c r="C14">
        <v>12138</v>
      </c>
      <c r="D14">
        <v>12000</v>
      </c>
      <c r="E14" s="12">
        <f>C14/C15</f>
        <v>0.91531558705979943</v>
      </c>
      <c r="F14" s="12">
        <f>D14/D15</f>
        <v>0.91764166093140631</v>
      </c>
      <c r="G14" s="14">
        <f t="shared" si="0"/>
        <v>5.9037084106379798E-6</v>
      </c>
    </row>
    <row r="15" spans="1:16" x14ac:dyDescent="0.35">
      <c r="A15" s="8" t="s">
        <v>15</v>
      </c>
      <c r="C15" s="15">
        <f>SUM(C13:C14)</f>
        <v>13261</v>
      </c>
      <c r="D15" s="15">
        <f>SUM(D13:D14)</f>
        <v>13077</v>
      </c>
      <c r="E15" s="17">
        <f>SUM(E13:E14)</f>
        <v>1</v>
      </c>
      <c r="F15" s="17">
        <f>SUM(F13:F14)</f>
        <v>1</v>
      </c>
      <c r="G15" s="14">
        <f>SUM(G13:G14)</f>
        <v>7.0689152249308755E-5</v>
      </c>
    </row>
  </sheetData>
  <mergeCells count="4">
    <mergeCell ref="A2:A3"/>
    <mergeCell ref="A5:A8"/>
    <mergeCell ref="A10:A11"/>
    <mergeCell ref="A13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Sheet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Patro, Ganesh Bhagwan</dc:creator>
  <cp:lastModifiedBy>Patro, Ganesh Bhagwan</cp:lastModifiedBy>
  <dcterms:created xsi:type="dcterms:W3CDTF">2024-11-12T16:15:06Z</dcterms:created>
  <dcterms:modified xsi:type="dcterms:W3CDTF">2024-11-15T17:07:04Z</dcterms:modified>
</cp:coreProperties>
</file>